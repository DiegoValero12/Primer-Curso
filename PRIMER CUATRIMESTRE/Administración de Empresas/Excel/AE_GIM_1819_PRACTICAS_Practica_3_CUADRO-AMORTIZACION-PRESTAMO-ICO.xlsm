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3"/>
  <workbookPr/>
  <mc:AlternateContent xmlns:mc="http://schemas.openxmlformats.org/markup-compatibility/2006">
    <mc:Choice Requires="x15">
      <x15ac:absPath xmlns:x15ac="http://schemas.microsoft.com/office/spreadsheetml/2010/11/ac" url="/Users/juanignacioespana-valor/Desktop/P3/"/>
    </mc:Choice>
  </mc:AlternateContent>
  <xr:revisionPtr revIDLastSave="0" documentId="10_ncr:8100000_{FB66DC2F-3EC5-7646-856A-A7E178D393EB}" xr6:coauthVersionLast="33" xr6:coauthVersionMax="33" xr10:uidLastSave="{00000000-0000-0000-0000-000000000000}"/>
  <bookViews>
    <workbookView xWindow="640" yWindow="600" windowWidth="28200" windowHeight="17780" xr2:uid="{00000000-000D-0000-FFFF-FFFF00000000}"/>
  </bookViews>
  <sheets>
    <sheet name="amortizacion  prestamo 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8" i="1" l="1"/>
  <c r="E7" i="1"/>
  <c r="F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Microsoft Office</author>
  </authors>
  <commentList>
    <comment ref="B4" authorId="0" shapeId="0" xr:uid="{00000000-0006-0000-0000-000001000000}">
      <text>
        <r>
          <rPr>
            <b/>
            <sz val="10"/>
            <color rgb="FF000000"/>
            <rFont val="Calibri"/>
            <family val="2"/>
          </rPr>
          <t xml:space="preserve">PARA SABER EL TIPO DE INTERÉS QUE SE APLICARÍA, hay que consultar las tablas de préstamos ICO 2018 para Emprendedores y Empresas:
</t>
        </r>
        <r>
          <rPr>
            <b/>
            <sz val="10"/>
            <color rgb="FF000000"/>
            <rFont val="Calibri"/>
            <family val="2"/>
          </rPr>
          <t xml:space="preserve">https://www.ico.es/web/ico/ico-empresas-y-emprendedores/-/lineasICO/view?tab=tipoInteres
</t>
        </r>
        <r>
          <rPr>
            <b/>
            <sz val="10"/>
            <color rgb="FF000000"/>
            <rFont val="Calibri"/>
            <family val="2"/>
          </rPr>
          <t xml:space="preserve">
</t>
        </r>
        <r>
          <rPr>
            <b/>
            <sz val="10"/>
            <color rgb="FF000000"/>
            <rFont val="Calibri"/>
            <family val="2"/>
          </rPr>
          <t xml:space="preserve">o bien en el PDF publicado en UA CLOUD.
</t>
        </r>
        <r>
          <rPr>
            <b/>
            <sz val="10"/>
            <color rgb="FF000000"/>
            <rFont val="Calibri"/>
            <family val="2"/>
          </rPr>
          <t xml:space="preserve">
</t>
        </r>
        <r>
          <rPr>
            <b/>
            <sz val="10"/>
            <color rgb="FF000000"/>
            <rFont val="Calibri"/>
            <family val="2"/>
          </rPr>
          <t>Dejaremos el resto de parámetros sin modificar. Sólo hay que introducir capital inicial, tipo de interés a aplicar, y número de años para devolver el préstamo.</t>
        </r>
      </text>
    </comment>
  </commentList>
</comments>
</file>

<file path=xl/sharedStrings.xml><?xml version="1.0" encoding="utf-8"?>
<sst xmlns="http://schemas.openxmlformats.org/spreadsheetml/2006/main" count="26" uniqueCount="23">
  <si>
    <t>Introducción de datos:</t>
  </si>
  <si>
    <t>Capital inicial:</t>
  </si>
  <si>
    <t>Resultados:</t>
  </si>
  <si>
    <t>Comisión de apertura:</t>
  </si>
  <si>
    <t>Comisión de gestión:</t>
  </si>
  <si>
    <t>Capital efectivo:</t>
  </si>
  <si>
    <t>Gastos fijos bancarios:</t>
  </si>
  <si>
    <t>Gastos adicionales:</t>
  </si>
  <si>
    <t>Comisión de cancelación anticipada</t>
  </si>
  <si>
    <t>Prepagable (1) o pospagable (0)</t>
  </si>
  <si>
    <t>Periodos de pago</t>
  </si>
  <si>
    <t>Amortización acumulada del principal</t>
  </si>
  <si>
    <t>Capital pendiente</t>
  </si>
  <si>
    <t>Importe de la comisión de cancelación</t>
  </si>
  <si>
    <t>Coste de cancelación</t>
  </si>
  <si>
    <t>CUOTA TOTAL</t>
  </si>
  <si>
    <t>Plazo (años):</t>
  </si>
  <si>
    <t>Periodicidad (pagos por año):</t>
  </si>
  <si>
    <t>Tipo de interés:</t>
  </si>
  <si>
    <t>INTERESES (pago de intereses)</t>
  </si>
  <si>
    <t>CAPITAL (pago de préstamos)</t>
  </si>
  <si>
    <t>T.A.E.</t>
  </si>
  <si>
    <t>CUADRO DE AMORTIZACIÓN DEL PRÉSTAMO 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</si>
</sst>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164" formatCode="_-* #,##0\ _p_t_a_-;\-* #,##0\ _p_t_a_-;_-* &quot;-&quot;\ _p_t_a_-;_-@_-"/>
    <numFmt numFmtId="165" formatCode="0.000%"/>
    <numFmt numFmtId="166" formatCode="0.0000%"/>
  </numFmts>
  <fonts count="7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164" fontId="3" fillId="0" borderId="0" xfId="1" applyFont="1" applyBorder="1" applyAlignment="1">
      <alignment horizontal="center"/>
    </xf>
    <xf numFmtId="164" fontId="3" fillId="0" borderId="0" xfId="1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10" fontId="3" fillId="0" borderId="0" xfId="0" applyNumberFormat="1" applyFont="1" applyAlignment="1">
      <alignment horizontal="center"/>
    </xf>
    <xf numFmtId="164" fontId="3" fillId="0" borderId="0" xfId="1" applyFont="1"/>
    <xf numFmtId="0" fontId="3" fillId="0" borderId="3" xfId="0" applyFont="1" applyBorder="1"/>
    <xf numFmtId="166" fontId="3" fillId="0" borderId="0" xfId="0" applyNumberFormat="1" applyFont="1"/>
    <xf numFmtId="0" fontId="3" fillId="0" borderId="0" xfId="0" applyFont="1" applyBorder="1"/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164" fontId="3" fillId="0" borderId="0" xfId="1" applyFont="1" applyAlignment="1"/>
    <xf numFmtId="165" fontId="3" fillId="0" borderId="0" xfId="0" applyNumberFormat="1" applyFont="1"/>
    <xf numFmtId="166" fontId="3" fillId="0" borderId="0" xfId="1" applyNumberFormat="1" applyFont="1"/>
    <xf numFmtId="0" fontId="4" fillId="0" borderId="0" xfId="0" applyFont="1"/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164" fontId="3" fillId="0" borderId="0" xfId="0" applyNumberFormat="1" applyFont="1" applyBorder="1" applyAlignment="1">
      <alignment vertical="center" wrapText="1"/>
    </xf>
    <xf numFmtId="164" fontId="3" fillId="0" borderId="0" xfId="1" applyFont="1" applyBorder="1" applyAlignment="1"/>
    <xf numFmtId="164" fontId="3" fillId="0" borderId="0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0" fillId="0" borderId="2" xfId="0" applyFont="1" applyBorder="1"/>
    <xf numFmtId="44" fontId="3" fillId="2" borderId="4" xfId="3" applyFont="1" applyFill="1" applyBorder="1" applyAlignment="1">
      <alignment horizontal="center"/>
    </xf>
    <xf numFmtId="165" fontId="3" fillId="2" borderId="4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10" fontId="3" fillId="3" borderId="4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3" fillId="3" borderId="4" xfId="1" applyFont="1" applyFill="1" applyBorder="1" applyAlignment="1">
      <alignment horizontal="center"/>
    </xf>
    <xf numFmtId="164" fontId="3" fillId="3" borderId="4" xfId="0" applyNumberFormat="1" applyFont="1" applyFill="1" applyBorder="1" applyAlignment="1">
      <alignment horizontal="center"/>
    </xf>
    <xf numFmtId="165" fontId="3" fillId="3" borderId="4" xfId="2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/>
  </cellXfs>
  <cellStyles count="4">
    <cellStyle name="Millares [0]" xfId="1" builtinId="6"/>
    <cellStyle name="Moneda" xfId="3" builtinId="4"/>
    <cellStyle name="Normal" xfId="0" builtinId="0"/>
    <cellStyle name="Porcentaje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1"/>
  <dimension ref="A1:I153"/>
  <sheetViews>
    <sheetView tabSelected="1" workbookViewId="0">
      <selection activeCell="B3" sqref="B3"/>
    </sheetView>
  </sheetViews>
  <sheetFormatPr baseColWidth="10" defaultColWidth="11.5" defaultRowHeight="13" x14ac:dyDescent="0.15"/>
  <cols>
    <col min="1" max="1" width="30.6640625" style="1" bestFit="1" customWidth="1"/>
    <col min="2" max="2" width="14.5" style="1" bestFit="1" customWidth="1"/>
    <col min="3" max="3" width="14.5" style="1" customWidth="1"/>
    <col min="4" max="4" width="19.1640625" style="1" bestFit="1" customWidth="1"/>
    <col min="5" max="6" width="14.5" style="1" bestFit="1" customWidth="1"/>
    <col min="7" max="7" width="15.5" style="1" bestFit="1" customWidth="1"/>
    <col min="8" max="8" width="14.5" style="1" bestFit="1" customWidth="1"/>
    <col min="9" max="16384" width="11.5" style="1"/>
  </cols>
  <sheetData>
    <row r="1" spans="1:9" ht="20" x14ac:dyDescent="0.2">
      <c r="A1" s="38" t="s">
        <v>22</v>
      </c>
      <c r="B1" s="38"/>
      <c r="C1" s="38"/>
      <c r="D1" s="38"/>
      <c r="E1" s="38"/>
      <c r="F1" s="38"/>
      <c r="G1" s="38"/>
      <c r="H1" s="38"/>
    </row>
    <row r="2" spans="1:9" ht="14" thickBot="1" x14ac:dyDescent="0.2">
      <c r="A2" s="1" t="s">
        <v>0</v>
      </c>
    </row>
    <row r="3" spans="1:9" x14ac:dyDescent="0.15">
      <c r="A3" s="7" t="s">
        <v>1</v>
      </c>
      <c r="B3" s="29">
        <v>120000</v>
      </c>
      <c r="C3" s="3"/>
    </row>
    <row r="4" spans="1:9" ht="14" thickBot="1" x14ac:dyDescent="0.2">
      <c r="A4" s="27" t="s">
        <v>18</v>
      </c>
      <c r="B4" s="30">
        <v>4.8510999999999999E-2</v>
      </c>
      <c r="C4" s="4"/>
      <c r="D4" s="1" t="s">
        <v>2</v>
      </c>
      <c r="G4" s="17"/>
    </row>
    <row r="5" spans="1:9" x14ac:dyDescent="0.15">
      <c r="A5" s="28" t="s">
        <v>16</v>
      </c>
      <c r="B5" s="31">
        <v>10</v>
      </c>
      <c r="C5" s="6"/>
      <c r="D5" s="7" t="s">
        <v>3</v>
      </c>
      <c r="E5" s="35">
        <v>0</v>
      </c>
    </row>
    <row r="6" spans="1:9" x14ac:dyDescent="0.15">
      <c r="A6" s="28" t="s">
        <v>17</v>
      </c>
      <c r="B6" s="32">
        <v>12</v>
      </c>
      <c r="C6" s="6"/>
      <c r="D6" s="8" t="s">
        <v>4</v>
      </c>
      <c r="E6" s="35">
        <v>0</v>
      </c>
    </row>
    <row r="7" spans="1:9" x14ac:dyDescent="0.15">
      <c r="A7" s="8" t="s">
        <v>3</v>
      </c>
      <c r="B7" s="33">
        <v>0</v>
      </c>
      <c r="C7" s="9"/>
      <c r="D7" s="8" t="s">
        <v>5</v>
      </c>
      <c r="E7" s="36">
        <f>B3-E5-E6-B9-B10</f>
        <v>120000</v>
      </c>
      <c r="G7" s="10"/>
    </row>
    <row r="8" spans="1:9" ht="14" thickBot="1" x14ac:dyDescent="0.2">
      <c r="A8" s="8" t="s">
        <v>4</v>
      </c>
      <c r="B8" s="33">
        <v>0</v>
      </c>
      <c r="C8" s="9"/>
      <c r="D8" s="39" t="s">
        <v>21</v>
      </c>
      <c r="E8" s="37">
        <f>B4</f>
        <v>4.8510999999999999E-2</v>
      </c>
      <c r="G8" s="10"/>
    </row>
    <row r="9" spans="1:9" x14ac:dyDescent="0.15">
      <c r="A9" s="8" t="s">
        <v>6</v>
      </c>
      <c r="B9" s="34">
        <v>0</v>
      </c>
      <c r="C9" s="6"/>
      <c r="F9" s="12"/>
    </row>
    <row r="10" spans="1:9" x14ac:dyDescent="0.15">
      <c r="A10" s="8" t="s">
        <v>7</v>
      </c>
      <c r="B10" s="34">
        <v>0</v>
      </c>
      <c r="C10" s="6"/>
      <c r="G10" s="18"/>
    </row>
    <row r="11" spans="1:9" ht="18" x14ac:dyDescent="0.2">
      <c r="A11" s="8" t="s">
        <v>8</v>
      </c>
      <c r="B11" s="33">
        <v>0</v>
      </c>
      <c r="C11" s="4"/>
      <c r="E11" s="3"/>
      <c r="F11" s="19"/>
    </row>
    <row r="12" spans="1:9" ht="14" thickBot="1" x14ac:dyDescent="0.2">
      <c r="A12" s="11" t="s">
        <v>9</v>
      </c>
      <c r="B12" s="34">
        <v>0</v>
      </c>
      <c r="C12" s="6"/>
    </row>
    <row r="13" spans="1:9" x14ac:dyDescent="0.15">
      <c r="A13" s="13"/>
      <c r="B13" s="5"/>
      <c r="C13" s="6"/>
    </row>
    <row r="14" spans="1:9" x14ac:dyDescent="0.15">
      <c r="A14" s="1" t="s">
        <v>2</v>
      </c>
    </row>
    <row r="16" spans="1:9" ht="45.75" customHeight="1" x14ac:dyDescent="0.15">
      <c r="A16" s="14" t="s">
        <v>10</v>
      </c>
      <c r="B16" s="25" t="s">
        <v>15</v>
      </c>
      <c r="C16" s="26" t="s">
        <v>19</v>
      </c>
      <c r="D16" s="26" t="s">
        <v>20</v>
      </c>
      <c r="E16" s="15" t="s">
        <v>11</v>
      </c>
      <c r="F16" s="15" t="s">
        <v>12</v>
      </c>
      <c r="G16" s="15" t="s">
        <v>13</v>
      </c>
      <c r="H16" s="15" t="s">
        <v>14</v>
      </c>
      <c r="I16" s="6"/>
    </row>
    <row r="17" spans="1:9" ht="15" customHeight="1" x14ac:dyDescent="0.15">
      <c r="A17" s="20">
        <v>0</v>
      </c>
      <c r="B17" s="21"/>
      <c r="C17" s="21"/>
      <c r="D17" s="21"/>
      <c r="E17" s="21"/>
      <c r="F17" s="22">
        <f>B3</f>
        <v>120000</v>
      </c>
      <c r="G17" s="21"/>
      <c r="H17" s="21"/>
      <c r="I17" s="6"/>
    </row>
    <row r="18" spans="1:9" x14ac:dyDescent="0.15">
      <c r="A18" s="5">
        <f t="shared" ref="A18:A50" si="0">IF(A17&lt;$B$5*$B$6,A17+1,"")</f>
        <v>1</v>
      </c>
      <c r="B18" s="2">
        <f>IF(A18="","",-PMT($B$4/$B$6,$B$5*$B$6,$B$3,,$B$12))</f>
        <v>1264.0703458786772</v>
      </c>
      <c r="C18" s="23">
        <f>IF(A18="","",$B$4/$B$6*F17)</f>
        <v>485.10999999999996</v>
      </c>
      <c r="D18" s="2">
        <f t="shared" ref="D18:D41" si="1">IF(A18="","",B18-C18)</f>
        <v>778.96034587867734</v>
      </c>
      <c r="E18" s="2">
        <f>IF(A18="","",D18+E17)</f>
        <v>778.96034587867734</v>
      </c>
      <c r="F18" s="2">
        <f>IF(A18="","",$F$17-E18)</f>
        <v>119221.03965412133</v>
      </c>
      <c r="G18" s="2">
        <f>IF(A18="","",$B$11*F18)</f>
        <v>0</v>
      </c>
      <c r="H18" s="24">
        <f>IF(A18="","",F18+G18)</f>
        <v>119221.03965412133</v>
      </c>
    </row>
    <row r="19" spans="1:9" x14ac:dyDescent="0.15">
      <c r="A19" s="5">
        <f t="shared" si="0"/>
        <v>2</v>
      </c>
      <c r="B19" s="2">
        <f t="shared" ref="B19:B41" si="2">IF(A19="","",-PMT($B$4/$B$6,$B$5*$B$6,$B$3,,$B$12))</f>
        <v>1264.0703458786772</v>
      </c>
      <c r="C19" s="23">
        <f t="shared" ref="C19:C41" si="3">IF(A19="","",$B$4/$B$6*F18)</f>
        <v>481.96098788842323</v>
      </c>
      <c r="D19" s="2">
        <f t="shared" si="1"/>
        <v>782.10935799025401</v>
      </c>
      <c r="E19" s="2">
        <f t="shared" ref="E19:E40" si="4">IF(A19="","",D19+E18)</f>
        <v>1561.0697038689314</v>
      </c>
      <c r="F19" s="2">
        <f t="shared" ref="F19:F41" si="5">IF(A19="","",$F$17-E19)</f>
        <v>118438.93029613108</v>
      </c>
      <c r="G19" s="2">
        <f t="shared" ref="G19:G41" si="6">IF(A19="","",$B$11*F19)</f>
        <v>0</v>
      </c>
      <c r="H19" s="24">
        <f t="shared" ref="H19:H41" si="7">IF(A19="","",F19+G19)</f>
        <v>118438.93029613108</v>
      </c>
    </row>
    <row r="20" spans="1:9" x14ac:dyDescent="0.15">
      <c r="A20" s="5">
        <f t="shared" si="0"/>
        <v>3</v>
      </c>
      <c r="B20" s="2">
        <f t="shared" si="2"/>
        <v>1264.0703458786772</v>
      </c>
      <c r="C20" s="23">
        <f t="shared" si="3"/>
        <v>478.79924563296782</v>
      </c>
      <c r="D20" s="2">
        <f t="shared" si="1"/>
        <v>785.27110024570948</v>
      </c>
      <c r="E20" s="2">
        <f t="shared" si="4"/>
        <v>2346.3408041146408</v>
      </c>
      <c r="F20" s="2">
        <f t="shared" si="5"/>
        <v>117653.65919588535</v>
      </c>
      <c r="G20" s="2">
        <f t="shared" si="6"/>
        <v>0</v>
      </c>
      <c r="H20" s="24">
        <f t="shared" si="7"/>
        <v>117653.65919588535</v>
      </c>
    </row>
    <row r="21" spans="1:9" x14ac:dyDescent="0.15">
      <c r="A21" s="5">
        <f t="shared" si="0"/>
        <v>4</v>
      </c>
      <c r="B21" s="2">
        <f t="shared" si="2"/>
        <v>1264.0703458786772</v>
      </c>
      <c r="C21" s="23">
        <f t="shared" si="3"/>
        <v>475.62472177096618</v>
      </c>
      <c r="D21" s="2">
        <f t="shared" si="1"/>
        <v>788.44562410771107</v>
      </c>
      <c r="E21" s="2">
        <f t="shared" si="4"/>
        <v>3134.7864282223518</v>
      </c>
      <c r="F21" s="2">
        <f t="shared" si="5"/>
        <v>116865.21357177765</v>
      </c>
      <c r="G21" s="2">
        <f t="shared" si="6"/>
        <v>0</v>
      </c>
      <c r="H21" s="24">
        <f t="shared" si="7"/>
        <v>116865.21357177765</v>
      </c>
    </row>
    <row r="22" spans="1:9" x14ac:dyDescent="0.15">
      <c r="A22" s="5">
        <f t="shared" si="0"/>
        <v>5</v>
      </c>
      <c r="B22" s="2">
        <f t="shared" si="2"/>
        <v>1264.0703458786772</v>
      </c>
      <c r="C22" s="23">
        <f t="shared" si="3"/>
        <v>472.43736463170876</v>
      </c>
      <c r="D22" s="2">
        <f t="shared" si="1"/>
        <v>791.63298124696848</v>
      </c>
      <c r="E22" s="2">
        <f t="shared" si="4"/>
        <v>3926.4194094693203</v>
      </c>
      <c r="F22" s="2">
        <f t="shared" si="5"/>
        <v>116073.58059053068</v>
      </c>
      <c r="G22" s="2">
        <f t="shared" si="6"/>
        <v>0</v>
      </c>
      <c r="H22" s="24">
        <f t="shared" si="7"/>
        <v>116073.58059053068</v>
      </c>
    </row>
    <row r="23" spans="1:9" x14ac:dyDescent="0.15">
      <c r="A23" s="5">
        <f t="shared" si="0"/>
        <v>6</v>
      </c>
      <c r="B23" s="2">
        <f t="shared" si="2"/>
        <v>1264.0703458786772</v>
      </c>
      <c r="C23" s="23">
        <f t="shared" si="3"/>
        <v>469.23712233560275</v>
      </c>
      <c r="D23" s="2">
        <f t="shared" si="1"/>
        <v>794.8332235430745</v>
      </c>
      <c r="E23" s="2">
        <f t="shared" si="4"/>
        <v>4721.2526330123947</v>
      </c>
      <c r="F23" s="2">
        <f t="shared" si="5"/>
        <v>115278.74736698761</v>
      </c>
      <c r="G23" s="2">
        <f t="shared" si="6"/>
        <v>0</v>
      </c>
      <c r="H23" s="24">
        <f t="shared" si="7"/>
        <v>115278.74736698761</v>
      </c>
    </row>
    <row r="24" spans="1:9" x14ac:dyDescent="0.15">
      <c r="A24" s="5">
        <f t="shared" si="0"/>
        <v>7</v>
      </c>
      <c r="B24" s="2">
        <f t="shared" si="2"/>
        <v>1264.0703458786772</v>
      </c>
      <c r="C24" s="23">
        <f t="shared" si="3"/>
        <v>466.02394279332793</v>
      </c>
      <c r="D24" s="2">
        <f t="shared" si="1"/>
        <v>798.04640308534931</v>
      </c>
      <c r="E24" s="2">
        <f t="shared" si="4"/>
        <v>5519.2990360977437</v>
      </c>
      <c r="F24" s="2">
        <f t="shared" si="5"/>
        <v>114480.70096390226</v>
      </c>
      <c r="G24" s="2">
        <f t="shared" si="6"/>
        <v>0</v>
      </c>
      <c r="H24" s="24">
        <f t="shared" si="7"/>
        <v>114480.70096390226</v>
      </c>
    </row>
    <row r="25" spans="1:9" x14ac:dyDescent="0.15">
      <c r="A25" s="5">
        <f t="shared" si="0"/>
        <v>8</v>
      </c>
      <c r="B25" s="2">
        <f t="shared" si="2"/>
        <v>1264.0703458786772</v>
      </c>
      <c r="C25" s="23">
        <f t="shared" si="3"/>
        <v>462.79777370498851</v>
      </c>
      <c r="D25" s="2">
        <f t="shared" si="1"/>
        <v>801.27257217368879</v>
      </c>
      <c r="E25" s="2">
        <f t="shared" si="4"/>
        <v>6320.5716082714325</v>
      </c>
      <c r="F25" s="2">
        <f t="shared" si="5"/>
        <v>113679.42839172856</v>
      </c>
      <c r="G25" s="2">
        <f t="shared" si="6"/>
        <v>0</v>
      </c>
      <c r="H25" s="24">
        <f t="shared" si="7"/>
        <v>113679.42839172856</v>
      </c>
    </row>
    <row r="26" spans="1:9" x14ac:dyDescent="0.15">
      <c r="A26" s="5">
        <f t="shared" si="0"/>
        <v>9</v>
      </c>
      <c r="B26" s="2">
        <f t="shared" si="2"/>
        <v>1264.0703458786772</v>
      </c>
      <c r="C26" s="23">
        <f t="shared" si="3"/>
        <v>459.55856255926199</v>
      </c>
      <c r="D26" s="2">
        <f t="shared" si="1"/>
        <v>804.51178331941526</v>
      </c>
      <c r="E26" s="2">
        <f t="shared" si="4"/>
        <v>7125.0833915908479</v>
      </c>
      <c r="F26" s="2">
        <f t="shared" si="5"/>
        <v>112874.91660840916</v>
      </c>
      <c r="G26" s="2">
        <f t="shared" si="6"/>
        <v>0</v>
      </c>
      <c r="H26" s="24">
        <f t="shared" si="7"/>
        <v>112874.91660840916</v>
      </c>
    </row>
    <row r="27" spans="1:9" x14ac:dyDescent="0.15">
      <c r="A27" s="5">
        <f t="shared" si="0"/>
        <v>10</v>
      </c>
      <c r="B27" s="2">
        <f t="shared" si="2"/>
        <v>1264.0703458786772</v>
      </c>
      <c r="C27" s="23">
        <f t="shared" si="3"/>
        <v>456.30625663254466</v>
      </c>
      <c r="D27" s="2">
        <f t="shared" si="1"/>
        <v>807.76408924613258</v>
      </c>
      <c r="E27" s="2">
        <f t="shared" si="4"/>
        <v>7932.8474808369801</v>
      </c>
      <c r="F27" s="2">
        <f t="shared" si="5"/>
        <v>112067.15251916302</v>
      </c>
      <c r="G27" s="2">
        <f t="shared" si="6"/>
        <v>0</v>
      </c>
      <c r="H27" s="24">
        <f t="shared" si="7"/>
        <v>112067.15251916302</v>
      </c>
    </row>
    <row r="28" spans="1:9" x14ac:dyDescent="0.15">
      <c r="A28" s="5">
        <f t="shared" si="0"/>
        <v>11</v>
      </c>
      <c r="B28" s="2">
        <f t="shared" si="2"/>
        <v>1264.0703458786772</v>
      </c>
      <c r="C28" s="23">
        <f t="shared" si="3"/>
        <v>453.04080298809305</v>
      </c>
      <c r="D28" s="2">
        <f t="shared" si="1"/>
        <v>811.02954289058425</v>
      </c>
      <c r="E28" s="2">
        <f t="shared" si="4"/>
        <v>8743.8770237275639</v>
      </c>
      <c r="F28" s="2">
        <f t="shared" si="5"/>
        <v>111256.12297627244</v>
      </c>
      <c r="G28" s="2">
        <f t="shared" si="6"/>
        <v>0</v>
      </c>
      <c r="H28" s="24">
        <f t="shared" si="7"/>
        <v>111256.12297627244</v>
      </c>
    </row>
    <row r="29" spans="1:9" x14ac:dyDescent="0.15">
      <c r="A29" s="5">
        <f t="shared" si="0"/>
        <v>12</v>
      </c>
      <c r="B29" s="2">
        <f t="shared" si="2"/>
        <v>1264.0703458786772</v>
      </c>
      <c r="C29" s="23">
        <f t="shared" si="3"/>
        <v>449.76214847516263</v>
      </c>
      <c r="D29" s="2">
        <f t="shared" si="1"/>
        <v>814.30819740351467</v>
      </c>
      <c r="E29" s="2">
        <f t="shared" si="4"/>
        <v>9558.1852211310779</v>
      </c>
      <c r="F29" s="2">
        <f t="shared" si="5"/>
        <v>110441.81477886892</v>
      </c>
      <c r="G29" s="2">
        <f t="shared" si="6"/>
        <v>0</v>
      </c>
      <c r="H29" s="24">
        <f t="shared" si="7"/>
        <v>110441.81477886892</v>
      </c>
    </row>
    <row r="30" spans="1:9" x14ac:dyDescent="0.15">
      <c r="A30" s="5">
        <f t="shared" si="0"/>
        <v>13</v>
      </c>
      <c r="B30" s="2">
        <f t="shared" si="2"/>
        <v>1264.0703458786772</v>
      </c>
      <c r="C30" s="23">
        <f t="shared" si="3"/>
        <v>446.47023972814247</v>
      </c>
      <c r="D30" s="2">
        <f t="shared" si="1"/>
        <v>817.60010615053477</v>
      </c>
      <c r="E30" s="2">
        <f t="shared" si="4"/>
        <v>10375.785327281612</v>
      </c>
      <c r="F30" s="2">
        <f t="shared" si="5"/>
        <v>109624.21467271839</v>
      </c>
      <c r="G30" s="2">
        <f t="shared" si="6"/>
        <v>0</v>
      </c>
      <c r="H30" s="24">
        <f t="shared" si="7"/>
        <v>109624.21467271839</v>
      </c>
    </row>
    <row r="31" spans="1:9" x14ac:dyDescent="0.15">
      <c r="A31" s="5">
        <f t="shared" si="0"/>
        <v>14</v>
      </c>
      <c r="B31" s="2">
        <f t="shared" si="2"/>
        <v>1264.0703458786772</v>
      </c>
      <c r="C31" s="23">
        <f t="shared" si="3"/>
        <v>443.16502316568676</v>
      </c>
      <c r="D31" s="2">
        <f t="shared" si="1"/>
        <v>820.90532271299048</v>
      </c>
      <c r="E31" s="2">
        <f t="shared" si="4"/>
        <v>11196.690649994602</v>
      </c>
      <c r="F31" s="2">
        <f t="shared" si="5"/>
        <v>108803.30935000539</v>
      </c>
      <c r="G31" s="2">
        <f t="shared" si="6"/>
        <v>0</v>
      </c>
      <c r="H31" s="24">
        <f t="shared" si="7"/>
        <v>108803.30935000539</v>
      </c>
    </row>
    <row r="32" spans="1:9" x14ac:dyDescent="0.15">
      <c r="A32" s="5">
        <f t="shared" si="0"/>
        <v>15</v>
      </c>
      <c r="B32" s="2">
        <f t="shared" si="2"/>
        <v>1264.0703458786772</v>
      </c>
      <c r="C32" s="23">
        <f t="shared" si="3"/>
        <v>439.84644498984261</v>
      </c>
      <c r="D32" s="2">
        <f t="shared" si="1"/>
        <v>824.22390088883458</v>
      </c>
      <c r="E32" s="2">
        <f t="shared" si="4"/>
        <v>12020.914550883437</v>
      </c>
      <c r="F32" s="2">
        <f t="shared" si="5"/>
        <v>107979.08544911657</v>
      </c>
      <c r="G32" s="2">
        <f t="shared" si="6"/>
        <v>0</v>
      </c>
      <c r="H32" s="24">
        <f t="shared" si="7"/>
        <v>107979.08544911657</v>
      </c>
    </row>
    <row r="33" spans="1:8" x14ac:dyDescent="0.15">
      <c r="A33" s="5">
        <f t="shared" si="0"/>
        <v>16</v>
      </c>
      <c r="B33" s="2">
        <f t="shared" si="2"/>
        <v>1264.0703458786772</v>
      </c>
      <c r="C33" s="23">
        <f t="shared" si="3"/>
        <v>436.51445118517444</v>
      </c>
      <c r="D33" s="2">
        <f t="shared" si="1"/>
        <v>827.55589469350275</v>
      </c>
      <c r="E33" s="2">
        <f t="shared" si="4"/>
        <v>12848.470445576941</v>
      </c>
      <c r="F33" s="2">
        <f t="shared" si="5"/>
        <v>107151.52955442306</v>
      </c>
      <c r="G33" s="2">
        <f t="shared" si="6"/>
        <v>0</v>
      </c>
      <c r="H33" s="24">
        <f t="shared" si="7"/>
        <v>107151.52955442306</v>
      </c>
    </row>
    <row r="34" spans="1:8" x14ac:dyDescent="0.15">
      <c r="A34" s="5">
        <f t="shared" si="0"/>
        <v>17</v>
      </c>
      <c r="B34" s="2">
        <f t="shared" si="2"/>
        <v>1264.0703458786772</v>
      </c>
      <c r="C34" s="23">
        <f t="shared" si="3"/>
        <v>433.16898751788472</v>
      </c>
      <c r="D34" s="2">
        <f t="shared" si="1"/>
        <v>830.90135836079253</v>
      </c>
      <c r="E34" s="2">
        <f t="shared" si="4"/>
        <v>13679.371803937733</v>
      </c>
      <c r="F34" s="2">
        <f t="shared" si="5"/>
        <v>106320.62819606227</v>
      </c>
      <c r="G34" s="2">
        <f t="shared" si="6"/>
        <v>0</v>
      </c>
      <c r="H34" s="24">
        <f t="shared" si="7"/>
        <v>106320.62819606227</v>
      </c>
    </row>
    <row r="35" spans="1:8" x14ac:dyDescent="0.15">
      <c r="A35" s="5">
        <f t="shared" si="0"/>
        <v>18</v>
      </c>
      <c r="B35" s="2">
        <f t="shared" si="2"/>
        <v>1264.0703458786772</v>
      </c>
      <c r="C35" s="23">
        <f t="shared" si="3"/>
        <v>429.80999953493136</v>
      </c>
      <c r="D35" s="2">
        <f t="shared" si="1"/>
        <v>834.26034634374582</v>
      </c>
      <c r="E35" s="2">
        <f t="shared" si="4"/>
        <v>14513.632150281479</v>
      </c>
      <c r="F35" s="2">
        <f t="shared" si="5"/>
        <v>105486.36784971852</v>
      </c>
      <c r="G35" s="2">
        <f t="shared" si="6"/>
        <v>0</v>
      </c>
      <c r="H35" s="24">
        <f t="shared" si="7"/>
        <v>105486.36784971852</v>
      </c>
    </row>
    <row r="36" spans="1:8" x14ac:dyDescent="0.15">
      <c r="A36" s="5">
        <f t="shared" si="0"/>
        <v>19</v>
      </c>
      <c r="B36" s="2">
        <f t="shared" si="2"/>
        <v>1264.0703458786772</v>
      </c>
      <c r="C36" s="23">
        <f t="shared" si="3"/>
        <v>426.43743256314121</v>
      </c>
      <c r="D36" s="2">
        <f t="shared" si="1"/>
        <v>837.63291331553603</v>
      </c>
      <c r="E36" s="2">
        <f t="shared" si="4"/>
        <v>15351.265063597015</v>
      </c>
      <c r="F36" s="2">
        <f t="shared" si="5"/>
        <v>104648.73493640298</v>
      </c>
      <c r="G36" s="2">
        <f t="shared" si="6"/>
        <v>0</v>
      </c>
      <c r="H36" s="24">
        <f t="shared" si="7"/>
        <v>104648.73493640298</v>
      </c>
    </row>
    <row r="37" spans="1:8" x14ac:dyDescent="0.15">
      <c r="A37" s="5">
        <f t="shared" si="0"/>
        <v>20</v>
      </c>
      <c r="B37" s="2">
        <f t="shared" si="2"/>
        <v>1264.0703458786772</v>
      </c>
      <c r="C37" s="23">
        <f t="shared" si="3"/>
        <v>423.05123170832036</v>
      </c>
      <c r="D37" s="2">
        <f t="shared" si="1"/>
        <v>841.01911417035694</v>
      </c>
      <c r="E37" s="2">
        <f t="shared" si="4"/>
        <v>16192.284177767371</v>
      </c>
      <c r="F37" s="2">
        <f t="shared" si="5"/>
        <v>103807.71582223263</v>
      </c>
      <c r="G37" s="2">
        <f t="shared" si="6"/>
        <v>0</v>
      </c>
      <c r="H37" s="24">
        <f t="shared" si="7"/>
        <v>103807.71582223263</v>
      </c>
    </row>
    <row r="38" spans="1:8" x14ac:dyDescent="0.15">
      <c r="A38" s="5">
        <f t="shared" si="0"/>
        <v>21</v>
      </c>
      <c r="B38" s="2">
        <f t="shared" si="2"/>
        <v>1264.0703458786772</v>
      </c>
      <c r="C38" s="23">
        <f t="shared" si="3"/>
        <v>419.65134185436051</v>
      </c>
      <c r="D38" s="2">
        <f t="shared" si="1"/>
        <v>844.41900402431679</v>
      </c>
      <c r="E38" s="2">
        <f t="shared" si="4"/>
        <v>17036.703181791687</v>
      </c>
      <c r="F38" s="2">
        <f t="shared" si="5"/>
        <v>102963.29681820831</v>
      </c>
      <c r="G38" s="2">
        <f t="shared" si="6"/>
        <v>0</v>
      </c>
      <c r="H38" s="24">
        <f t="shared" si="7"/>
        <v>102963.29681820831</v>
      </c>
    </row>
    <row r="39" spans="1:8" x14ac:dyDescent="0.15">
      <c r="A39" s="5">
        <f t="shared" si="0"/>
        <v>22</v>
      </c>
      <c r="B39" s="2">
        <f t="shared" si="2"/>
        <v>1264.0703458786772</v>
      </c>
      <c r="C39" s="23">
        <f t="shared" si="3"/>
        <v>416.2377076623419</v>
      </c>
      <c r="D39" s="2">
        <f t="shared" si="1"/>
        <v>847.83263821633534</v>
      </c>
      <c r="E39" s="2">
        <f t="shared" si="4"/>
        <v>17884.535820008023</v>
      </c>
      <c r="F39" s="2">
        <f t="shared" si="5"/>
        <v>102115.46417999198</v>
      </c>
      <c r="G39" s="2">
        <f t="shared" si="6"/>
        <v>0</v>
      </c>
      <c r="H39" s="24">
        <f t="shared" si="7"/>
        <v>102115.46417999198</v>
      </c>
    </row>
    <row r="40" spans="1:8" x14ac:dyDescent="0.15">
      <c r="A40" s="5">
        <f t="shared" si="0"/>
        <v>23</v>
      </c>
      <c r="B40" s="2">
        <f t="shared" si="2"/>
        <v>1264.0703458786772</v>
      </c>
      <c r="C40" s="23">
        <f t="shared" si="3"/>
        <v>412.8102735696325</v>
      </c>
      <c r="D40" s="2">
        <f t="shared" si="1"/>
        <v>851.26007230904474</v>
      </c>
      <c r="E40" s="2">
        <f t="shared" si="4"/>
        <v>18735.795892317066</v>
      </c>
      <c r="F40" s="2">
        <f t="shared" si="5"/>
        <v>101264.20410768293</v>
      </c>
      <c r="G40" s="2">
        <f t="shared" si="6"/>
        <v>0</v>
      </c>
      <c r="H40" s="24">
        <f t="shared" si="7"/>
        <v>101264.20410768293</v>
      </c>
    </row>
    <row r="41" spans="1:8" x14ac:dyDescent="0.15">
      <c r="A41" s="5">
        <f t="shared" si="0"/>
        <v>24</v>
      </c>
      <c r="B41" s="2">
        <f t="shared" si="2"/>
        <v>1264.0703458786772</v>
      </c>
      <c r="C41" s="23">
        <f t="shared" si="3"/>
        <v>409.36898378898388</v>
      </c>
      <c r="D41" s="2">
        <f t="shared" si="1"/>
        <v>854.70136208969336</v>
      </c>
      <c r="E41" s="2">
        <f>IF(A41="","",D41+E40)</f>
        <v>19590.49725440676</v>
      </c>
      <c r="F41" s="2">
        <f t="shared" si="5"/>
        <v>100409.50274559324</v>
      </c>
      <c r="G41" s="2">
        <f t="shared" si="6"/>
        <v>0</v>
      </c>
      <c r="H41" s="24">
        <f t="shared" si="7"/>
        <v>100409.50274559324</v>
      </c>
    </row>
    <row r="42" spans="1:8" x14ac:dyDescent="0.15">
      <c r="A42" s="5">
        <f t="shared" si="0"/>
        <v>25</v>
      </c>
      <c r="B42" s="2">
        <f t="shared" ref="B42:B50" si="8">IF(A42&lt;=$B$5*$B$6,-PMT($B$4/$B$6,$B$5*$B$6,$B$3,,$B$12),"")</f>
        <v>1264.0703458786772</v>
      </c>
      <c r="C42" s="23">
        <f t="shared" ref="C42:C82" si="9">IF(A42&lt;=$B$5*$B$6,-IPMT($B$4/$B$6,A42,$B$5*$B$6,$B$3,,$B$12),"")</f>
        <v>405.91378230762274</v>
      </c>
      <c r="D42" s="2">
        <f t="shared" ref="D42:D82" si="10">IF(A42&lt;=$B$5*$B$6,-PPMT($B$4/$B$6,A42,$B$5*$B$6,$B$3,,$B$12),"")</f>
        <v>858.15656357105456</v>
      </c>
      <c r="E42" s="2">
        <f>IF(A42&lt;=$B$5*$B$6,SUM($D$18:D42),"")</f>
        <v>20448.653817977814</v>
      </c>
      <c r="F42" s="2">
        <f t="shared" ref="F42:F82" si="11">IF(A42&lt;=$B$5*$B$6,$B$3-E42,"")</f>
        <v>99551.346182022186</v>
      </c>
      <c r="G42" s="2">
        <f t="shared" ref="G42:G82" si="12">IF(F42="","",$B$11*F42)</f>
        <v>0</v>
      </c>
      <c r="H42" s="2">
        <f t="shared" ref="H42:H82" si="13">IF(G42="","",F42+G42)</f>
        <v>99551.346182022186</v>
      </c>
    </row>
    <row r="43" spans="1:8" x14ac:dyDescent="0.15">
      <c r="A43" s="5">
        <f t="shared" si="0"/>
        <v>26</v>
      </c>
      <c r="B43" s="2">
        <f t="shared" si="8"/>
        <v>1264.0703458786772</v>
      </c>
      <c r="C43" s="23">
        <f t="shared" si="9"/>
        <v>402.44461288633977</v>
      </c>
      <c r="D43" s="2">
        <f t="shared" si="10"/>
        <v>861.62573299233748</v>
      </c>
      <c r="E43" s="2">
        <f>IF(A43&lt;=$B$5*$B$6,SUM($D$18:D43),"")</f>
        <v>21310.279550970154</v>
      </c>
      <c r="F43" s="2">
        <f t="shared" si="11"/>
        <v>98689.720449029846</v>
      </c>
      <c r="G43" s="2">
        <f t="shared" si="12"/>
        <v>0</v>
      </c>
      <c r="H43" s="2">
        <f t="shared" si="13"/>
        <v>98689.720449029846</v>
      </c>
    </row>
    <row r="44" spans="1:8" x14ac:dyDescent="0.15">
      <c r="A44" s="5">
        <f t="shared" si="0"/>
        <v>27</v>
      </c>
      <c r="B44" s="2">
        <f t="shared" si="8"/>
        <v>1264.0703458786772</v>
      </c>
      <c r="C44" s="23">
        <f t="shared" si="9"/>
        <v>398.96141905857382</v>
      </c>
      <c r="D44" s="2">
        <f t="shared" si="10"/>
        <v>865.10892682010331</v>
      </c>
      <c r="E44" s="2">
        <f>IF(A44&lt;=$B$5*$B$6,SUM($D$18:D44),"")</f>
        <v>22175.388477790257</v>
      </c>
      <c r="F44" s="2">
        <f t="shared" si="11"/>
        <v>97824.611522209743</v>
      </c>
      <c r="G44" s="2">
        <f t="shared" si="12"/>
        <v>0</v>
      </c>
      <c r="H44" s="2">
        <f t="shared" si="13"/>
        <v>97824.611522209743</v>
      </c>
    </row>
    <row r="45" spans="1:8" x14ac:dyDescent="0.15">
      <c r="A45" s="5">
        <f t="shared" si="0"/>
        <v>28</v>
      </c>
      <c r="B45" s="2">
        <f t="shared" si="8"/>
        <v>1264.0703458786772</v>
      </c>
      <c r="C45" s="23">
        <f t="shared" si="9"/>
        <v>395.46414412949298</v>
      </c>
      <c r="D45" s="2">
        <f t="shared" si="10"/>
        <v>868.60620174918427</v>
      </c>
      <c r="E45" s="2">
        <f>IF(A45&lt;=$B$5*$B$6,SUM($D$18:D45),"")</f>
        <v>23043.994679539443</v>
      </c>
      <c r="F45" s="2">
        <f t="shared" si="11"/>
        <v>96956.005320460565</v>
      </c>
      <c r="G45" s="2">
        <f t="shared" si="12"/>
        <v>0</v>
      </c>
      <c r="H45" s="2">
        <f t="shared" si="13"/>
        <v>96956.005320460565</v>
      </c>
    </row>
    <row r="46" spans="1:8" x14ac:dyDescent="0.15">
      <c r="A46" s="5">
        <f t="shared" si="0"/>
        <v>29</v>
      </c>
      <c r="B46" s="2">
        <f t="shared" si="8"/>
        <v>1264.0703458786772</v>
      </c>
      <c r="C46" s="23">
        <f t="shared" si="9"/>
        <v>391.95273117507173</v>
      </c>
      <c r="D46" s="2">
        <f t="shared" si="10"/>
        <v>872.11761470360534</v>
      </c>
      <c r="E46" s="2">
        <f>IF(A46&lt;=$B$5*$B$6,SUM($D$18:D46),"")</f>
        <v>23916.112294243048</v>
      </c>
      <c r="F46" s="2">
        <f t="shared" si="11"/>
        <v>96083.887705756948</v>
      </c>
      <c r="G46" s="2">
        <f t="shared" si="12"/>
        <v>0</v>
      </c>
      <c r="H46" s="2">
        <f t="shared" si="13"/>
        <v>96083.887705756948</v>
      </c>
    </row>
    <row r="47" spans="1:8" x14ac:dyDescent="0.15">
      <c r="A47" s="5">
        <f t="shared" si="0"/>
        <v>30</v>
      </c>
      <c r="B47" s="2">
        <f t="shared" si="8"/>
        <v>1264.0703458786772</v>
      </c>
      <c r="C47" s="23">
        <f t="shared" si="9"/>
        <v>388.42712304116446</v>
      </c>
      <c r="D47" s="2">
        <f t="shared" si="10"/>
        <v>875.64322283751267</v>
      </c>
      <c r="E47" s="2">
        <f>IF(A47&lt;=$B$5*$B$6,SUM($D$18:D47),"")</f>
        <v>24791.755517080561</v>
      </c>
      <c r="F47" s="2">
        <f t="shared" si="11"/>
        <v>95208.244482919443</v>
      </c>
      <c r="G47" s="2">
        <f t="shared" si="12"/>
        <v>0</v>
      </c>
      <c r="H47" s="2">
        <f t="shared" si="13"/>
        <v>95208.244482919443</v>
      </c>
    </row>
    <row r="48" spans="1:8" x14ac:dyDescent="0.15">
      <c r="A48" s="5">
        <f t="shared" si="0"/>
        <v>31</v>
      </c>
      <c r="B48" s="2">
        <f t="shared" si="8"/>
        <v>1264.0703458786772</v>
      </c>
      <c r="C48" s="23">
        <f t="shared" si="9"/>
        <v>384.88726234257524</v>
      </c>
      <c r="D48" s="2">
        <f t="shared" si="10"/>
        <v>879.183083536102</v>
      </c>
      <c r="E48" s="2">
        <f>IF(A48&lt;=$B$5*$B$6,SUM($D$18:D48),"")</f>
        <v>25670.938600616664</v>
      </c>
      <c r="F48" s="2">
        <f t="shared" si="11"/>
        <v>94329.061399383339</v>
      </c>
      <c r="G48" s="2">
        <f t="shared" si="12"/>
        <v>0</v>
      </c>
      <c r="H48" s="2">
        <f t="shared" si="13"/>
        <v>94329.061399383339</v>
      </c>
    </row>
    <row r="49" spans="1:8" x14ac:dyDescent="0.15">
      <c r="A49" s="5">
        <f t="shared" si="0"/>
        <v>32</v>
      </c>
      <c r="B49" s="2">
        <f t="shared" si="8"/>
        <v>1264.0703458786772</v>
      </c>
      <c r="C49" s="23">
        <f t="shared" si="9"/>
        <v>381.3330914621236</v>
      </c>
      <c r="D49" s="2">
        <f t="shared" si="10"/>
        <v>882.73725441655358</v>
      </c>
      <c r="E49" s="2">
        <f>IF(A49&lt;=$B$5*$B$6,SUM($D$18:D49),"")</f>
        <v>26553.675855033216</v>
      </c>
      <c r="F49" s="2">
        <f t="shared" si="11"/>
        <v>93446.324144966784</v>
      </c>
      <c r="G49" s="2">
        <f t="shared" si="12"/>
        <v>0</v>
      </c>
      <c r="H49" s="2">
        <f t="shared" si="13"/>
        <v>93446.324144966784</v>
      </c>
    </row>
    <row r="50" spans="1:8" x14ac:dyDescent="0.15">
      <c r="A50" s="5">
        <f t="shared" si="0"/>
        <v>33</v>
      </c>
      <c r="B50" s="2">
        <f t="shared" si="8"/>
        <v>1264.0703458786772</v>
      </c>
      <c r="C50" s="23">
        <f t="shared" si="9"/>
        <v>377.76455254970688</v>
      </c>
      <c r="D50" s="2">
        <f t="shared" si="10"/>
        <v>886.30579332897037</v>
      </c>
      <c r="E50" s="2">
        <f>IF(A50&lt;=$B$5*$B$6,SUM($D$18:D50),"")</f>
        <v>27439.981648362187</v>
      </c>
      <c r="F50" s="2">
        <f t="shared" si="11"/>
        <v>92560.018351637817</v>
      </c>
      <c r="G50" s="2">
        <f t="shared" si="12"/>
        <v>0</v>
      </c>
      <c r="H50" s="2">
        <f t="shared" si="13"/>
        <v>92560.018351637817</v>
      </c>
    </row>
    <row r="51" spans="1:8" x14ac:dyDescent="0.15">
      <c r="A51" s="5">
        <f t="shared" ref="A51:A82" si="14">IF(A50&lt;$B$5*$B$6,A50+1,"")</f>
        <v>34</v>
      </c>
      <c r="B51" s="2">
        <f t="shared" ref="B51:B82" si="15">IF(A51&lt;=$B$5*$B$6,-PMT($B$4/$B$6,$B$5*$B$6,$B$3,,$B$12),"")</f>
        <v>1264.0703458786772</v>
      </c>
      <c r="C51" s="23">
        <f t="shared" si="9"/>
        <v>374.18158752135838</v>
      </c>
      <c r="D51" s="2">
        <f t="shared" si="10"/>
        <v>889.88875835731869</v>
      </c>
      <c r="E51" s="2">
        <f>IF(A51&lt;=$B$5*$B$6,SUM($D$18:D51),"")</f>
        <v>28329.870406719507</v>
      </c>
      <c r="F51" s="2">
        <f t="shared" si="11"/>
        <v>91670.129593280493</v>
      </c>
      <c r="G51" s="2">
        <f t="shared" si="12"/>
        <v>0</v>
      </c>
      <c r="H51" s="2">
        <f t="shared" si="13"/>
        <v>91670.129593280493</v>
      </c>
    </row>
    <row r="52" spans="1:8" x14ac:dyDescent="0.15">
      <c r="A52" s="5">
        <f t="shared" si="14"/>
        <v>35</v>
      </c>
      <c r="B52" s="2">
        <f t="shared" si="15"/>
        <v>1264.0703458786772</v>
      </c>
      <c r="C52" s="23">
        <f t="shared" si="9"/>
        <v>370.58413805830241</v>
      </c>
      <c r="D52" s="2">
        <f t="shared" si="10"/>
        <v>893.48620782037472</v>
      </c>
      <c r="E52" s="2">
        <f>IF(A52&lt;=$B$5*$B$6,SUM($D$18:D52),"")</f>
        <v>29223.35661453988</v>
      </c>
      <c r="F52" s="2">
        <f t="shared" si="11"/>
        <v>90776.64338546012</v>
      </c>
      <c r="G52" s="2">
        <f t="shared" si="12"/>
        <v>0</v>
      </c>
      <c r="H52" s="2">
        <f t="shared" si="13"/>
        <v>90776.64338546012</v>
      </c>
    </row>
    <row r="53" spans="1:8" x14ac:dyDescent="0.15">
      <c r="A53" s="5">
        <f t="shared" si="14"/>
        <v>36</v>
      </c>
      <c r="B53" s="2">
        <f t="shared" si="15"/>
        <v>1264.0703458786772</v>
      </c>
      <c r="C53" s="23">
        <f t="shared" si="9"/>
        <v>366.97214560600457</v>
      </c>
      <c r="D53" s="2">
        <f t="shared" si="10"/>
        <v>897.09820027267267</v>
      </c>
      <c r="E53" s="2">
        <f>IF(A53&lt;=$B$5*$B$6,SUM($D$18:D53),"")</f>
        <v>30120.454814812554</v>
      </c>
      <c r="F53" s="2">
        <f t="shared" si="11"/>
        <v>89879.545185187453</v>
      </c>
      <c r="G53" s="2">
        <f t="shared" si="12"/>
        <v>0</v>
      </c>
      <c r="H53" s="2">
        <f t="shared" si="13"/>
        <v>89879.545185187453</v>
      </c>
    </row>
    <row r="54" spans="1:8" x14ac:dyDescent="0.15">
      <c r="A54" s="5">
        <f t="shared" si="14"/>
        <v>37</v>
      </c>
      <c r="B54" s="2">
        <f t="shared" si="15"/>
        <v>1264.0703458786772</v>
      </c>
      <c r="C54" s="23">
        <f t="shared" si="9"/>
        <v>363.34555137321888</v>
      </c>
      <c r="D54" s="2">
        <f t="shared" si="10"/>
        <v>900.72479450545836</v>
      </c>
      <c r="E54" s="2">
        <f>IF(A54&lt;=$B$5*$B$6,SUM($D$18:D54),"")</f>
        <v>31021.179609318013</v>
      </c>
      <c r="F54" s="2">
        <f t="shared" si="11"/>
        <v>88978.820390681984</v>
      </c>
      <c r="G54" s="2">
        <f t="shared" si="12"/>
        <v>0</v>
      </c>
      <c r="H54" s="2">
        <f t="shared" si="13"/>
        <v>88978.820390681984</v>
      </c>
    </row>
    <row r="55" spans="1:8" x14ac:dyDescent="0.15">
      <c r="A55" s="5">
        <f t="shared" si="14"/>
        <v>38</v>
      </c>
      <c r="B55" s="2">
        <f t="shared" si="15"/>
        <v>1264.0703458786772</v>
      </c>
      <c r="C55" s="23">
        <f t="shared" si="9"/>
        <v>359.704296331031</v>
      </c>
      <c r="D55" s="2">
        <f t="shared" si="10"/>
        <v>904.36604954764618</v>
      </c>
      <c r="E55" s="2">
        <f>IF(A55&lt;=$B$5*$B$6,SUM($D$18:D55),"")</f>
        <v>31925.54565886566</v>
      </c>
      <c r="F55" s="2">
        <f t="shared" si="11"/>
        <v>88074.454341134347</v>
      </c>
      <c r="G55" s="2">
        <f t="shared" si="12"/>
        <v>0</v>
      </c>
      <c r="H55" s="2">
        <f t="shared" si="13"/>
        <v>88074.454341134347</v>
      </c>
    </row>
    <row r="56" spans="1:8" x14ac:dyDescent="0.15">
      <c r="A56" s="5">
        <f t="shared" si="14"/>
        <v>39</v>
      </c>
      <c r="B56" s="2">
        <f t="shared" si="15"/>
        <v>1264.0703458786772</v>
      </c>
      <c r="C56" s="23">
        <f t="shared" si="9"/>
        <v>356.04832121189719</v>
      </c>
      <c r="D56" s="2">
        <f t="shared" si="10"/>
        <v>908.02202466678</v>
      </c>
      <c r="E56" s="2">
        <f>IF(A56&lt;=$B$5*$B$6,SUM($D$18:D56),"")</f>
        <v>32833.567683532441</v>
      </c>
      <c r="F56" s="2">
        <f t="shared" si="11"/>
        <v>87166.432316467559</v>
      </c>
      <c r="G56" s="2">
        <f t="shared" si="12"/>
        <v>0</v>
      </c>
      <c r="H56" s="2">
        <f t="shared" si="13"/>
        <v>87166.432316467559</v>
      </c>
    </row>
    <row r="57" spans="1:8" x14ac:dyDescent="0.15">
      <c r="A57" s="5">
        <f t="shared" si="14"/>
        <v>40</v>
      </c>
      <c r="B57" s="2">
        <f t="shared" si="15"/>
        <v>1264.0703458786772</v>
      </c>
      <c r="C57" s="23">
        <f t="shared" si="9"/>
        <v>352.37756650867971</v>
      </c>
      <c r="D57" s="2">
        <f t="shared" si="10"/>
        <v>911.69277936999765</v>
      </c>
      <c r="E57" s="2">
        <f>IF(A57&lt;=$B$5*$B$6,SUM($D$18:D57),"")</f>
        <v>33745.260462902435</v>
      </c>
      <c r="F57" s="2">
        <f t="shared" si="11"/>
        <v>86254.739537097572</v>
      </c>
      <c r="G57" s="2">
        <f t="shared" si="12"/>
        <v>0</v>
      </c>
      <c r="H57" s="2">
        <f t="shared" si="13"/>
        <v>86254.739537097572</v>
      </c>
    </row>
    <row r="58" spans="1:8" x14ac:dyDescent="0.15">
      <c r="A58" s="5">
        <f t="shared" si="14"/>
        <v>41</v>
      </c>
      <c r="B58" s="2">
        <f t="shared" si="15"/>
        <v>1264.0703458786772</v>
      </c>
      <c r="C58" s="23">
        <f t="shared" si="9"/>
        <v>348.69197247367828</v>
      </c>
      <c r="D58" s="2">
        <f t="shared" si="10"/>
        <v>915.37837340499902</v>
      </c>
      <c r="E58" s="2">
        <f>IF(A58&lt;=$B$5*$B$6,SUM($D$18:D58),"")</f>
        <v>34660.638836307437</v>
      </c>
      <c r="F58" s="2">
        <f t="shared" si="11"/>
        <v>85339.361163692563</v>
      </c>
      <c r="G58" s="2">
        <f t="shared" si="12"/>
        <v>0</v>
      </c>
      <c r="H58" s="2">
        <f t="shared" si="13"/>
        <v>85339.361163692563</v>
      </c>
    </row>
    <row r="59" spans="1:8" x14ac:dyDescent="0.15">
      <c r="A59" s="5">
        <f t="shared" si="14"/>
        <v>42</v>
      </c>
      <c r="B59" s="2">
        <f t="shared" si="15"/>
        <v>1264.0703458786772</v>
      </c>
      <c r="C59" s="23">
        <f t="shared" si="9"/>
        <v>344.99147911765732</v>
      </c>
      <c r="D59" s="2">
        <f t="shared" si="10"/>
        <v>919.07886676101987</v>
      </c>
      <c r="E59" s="2">
        <f>IF(A59&lt;=$B$5*$B$6,SUM($D$18:D59),"")</f>
        <v>35579.717703068454</v>
      </c>
      <c r="F59" s="2">
        <f t="shared" si="11"/>
        <v>84420.282296931546</v>
      </c>
      <c r="G59" s="2">
        <f t="shared" si="12"/>
        <v>0</v>
      </c>
      <c r="H59" s="2">
        <f t="shared" si="13"/>
        <v>84420.282296931546</v>
      </c>
    </row>
    <row r="60" spans="1:8" x14ac:dyDescent="0.15">
      <c r="A60" s="5">
        <f t="shared" si="14"/>
        <v>43</v>
      </c>
      <c r="B60" s="2">
        <f t="shared" si="15"/>
        <v>1264.0703458786772</v>
      </c>
      <c r="C60" s="23">
        <f t="shared" si="9"/>
        <v>341.27602620887041</v>
      </c>
      <c r="D60" s="2">
        <f t="shared" si="10"/>
        <v>922.7943196698069</v>
      </c>
      <c r="E60" s="2">
        <f>IF(A60&lt;=$B$5*$B$6,SUM($D$18:D60),"")</f>
        <v>36502.512022738258</v>
      </c>
      <c r="F60" s="2">
        <f t="shared" si="11"/>
        <v>83497.487977261742</v>
      </c>
      <c r="G60" s="2">
        <f t="shared" si="12"/>
        <v>0</v>
      </c>
      <c r="H60" s="2">
        <f t="shared" si="13"/>
        <v>83497.487977261742</v>
      </c>
    </row>
    <row r="61" spans="1:8" x14ac:dyDescent="0.15">
      <c r="A61" s="5">
        <f t="shared" si="14"/>
        <v>44</v>
      </c>
      <c r="B61" s="2">
        <f t="shared" si="15"/>
        <v>1264.0703458786772</v>
      </c>
      <c r="C61" s="23">
        <f t="shared" si="9"/>
        <v>337.54555327207862</v>
      </c>
      <c r="D61" s="2">
        <f t="shared" si="10"/>
        <v>926.52479260659857</v>
      </c>
      <c r="E61" s="2">
        <f>IF(A61&lt;=$B$5*$B$6,SUM($D$18:D61),"")</f>
        <v>37429.036815344858</v>
      </c>
      <c r="F61" s="2">
        <f t="shared" si="11"/>
        <v>82570.963184655149</v>
      </c>
      <c r="G61" s="2">
        <f t="shared" si="12"/>
        <v>0</v>
      </c>
      <c r="H61" s="2">
        <f t="shared" si="13"/>
        <v>82570.963184655149</v>
      </c>
    </row>
    <row r="62" spans="1:8" x14ac:dyDescent="0.15">
      <c r="A62" s="5">
        <f t="shared" si="14"/>
        <v>45</v>
      </c>
      <c r="B62" s="2">
        <f t="shared" si="15"/>
        <v>1264.0703458786772</v>
      </c>
      <c r="C62" s="23">
        <f t="shared" si="9"/>
        <v>333.79999958756702</v>
      </c>
      <c r="D62" s="2">
        <f t="shared" si="10"/>
        <v>930.27034629111006</v>
      </c>
      <c r="E62" s="2">
        <f>IF(A62&lt;=$B$5*$B$6,SUM($D$18:D62),"")</f>
        <v>38359.307161635967</v>
      </c>
      <c r="F62" s="2">
        <f t="shared" si="11"/>
        <v>81640.692838364033</v>
      </c>
      <c r="G62" s="2">
        <f t="shared" si="12"/>
        <v>0</v>
      </c>
      <c r="H62" s="2">
        <f t="shared" si="13"/>
        <v>81640.692838364033</v>
      </c>
    </row>
    <row r="63" spans="1:8" x14ac:dyDescent="0.15">
      <c r="A63" s="5">
        <f t="shared" si="14"/>
        <v>46</v>
      </c>
      <c r="B63" s="2">
        <f t="shared" si="15"/>
        <v>1264.0703458786772</v>
      </c>
      <c r="C63" s="23">
        <f t="shared" si="9"/>
        <v>330.03930419015632</v>
      </c>
      <c r="D63" s="2">
        <f t="shared" si="10"/>
        <v>934.03104168852087</v>
      </c>
      <c r="E63" s="2">
        <f>IF(A63&lt;=$B$5*$B$6,SUM($D$18:D63),"")</f>
        <v>39293.338203324485</v>
      </c>
      <c r="F63" s="2">
        <f t="shared" si="11"/>
        <v>80706.661796675515</v>
      </c>
      <c r="G63" s="2">
        <f t="shared" si="12"/>
        <v>0</v>
      </c>
      <c r="H63" s="2">
        <f t="shared" si="13"/>
        <v>80706.661796675515</v>
      </c>
    </row>
    <row r="64" spans="1:8" x14ac:dyDescent="0.15">
      <c r="A64" s="5">
        <f t="shared" si="14"/>
        <v>47</v>
      </c>
      <c r="B64" s="2">
        <f t="shared" si="15"/>
        <v>1264.0703458786772</v>
      </c>
      <c r="C64" s="23">
        <f t="shared" si="9"/>
        <v>326.26340586821033</v>
      </c>
      <c r="D64" s="2">
        <f t="shared" si="10"/>
        <v>937.80694001046697</v>
      </c>
      <c r="E64" s="2">
        <f>IF(A64&lt;=$B$5*$B$6,SUM($D$18:D64),"")</f>
        <v>40231.14514333495</v>
      </c>
      <c r="F64" s="2">
        <f t="shared" si="11"/>
        <v>79768.854856665042</v>
      </c>
      <c r="G64" s="2">
        <f t="shared" si="12"/>
        <v>0</v>
      </c>
      <c r="H64" s="2">
        <f t="shared" si="13"/>
        <v>79768.854856665042</v>
      </c>
    </row>
    <row r="65" spans="1:8" x14ac:dyDescent="0.15">
      <c r="A65" s="5">
        <f t="shared" si="14"/>
        <v>48</v>
      </c>
      <c r="B65" s="2">
        <f t="shared" si="15"/>
        <v>1264.0703458786772</v>
      </c>
      <c r="C65" s="23">
        <f t="shared" si="9"/>
        <v>322.47224316263976</v>
      </c>
      <c r="D65" s="2">
        <f t="shared" si="10"/>
        <v>941.5981027160376</v>
      </c>
      <c r="E65" s="2">
        <f>IF(A65&lt;=$B$5*$B$6,SUM($D$18:D65),"")</f>
        <v>41172.743246050988</v>
      </c>
      <c r="F65" s="2">
        <f t="shared" si="11"/>
        <v>78827.256753949012</v>
      </c>
      <c r="G65" s="2">
        <f t="shared" si="12"/>
        <v>0</v>
      </c>
      <c r="H65" s="2">
        <f t="shared" si="13"/>
        <v>78827.256753949012</v>
      </c>
    </row>
    <row r="66" spans="1:8" x14ac:dyDescent="0.15">
      <c r="A66" s="5">
        <f t="shared" si="14"/>
        <v>49</v>
      </c>
      <c r="B66" s="2">
        <f t="shared" si="15"/>
        <v>1264.0703458786772</v>
      </c>
      <c r="C66" s="23">
        <f t="shared" si="9"/>
        <v>318.66575436590153</v>
      </c>
      <c r="D66" s="2">
        <f t="shared" si="10"/>
        <v>945.40459151277582</v>
      </c>
      <c r="E66" s="2">
        <f>IF(A66&lt;=$B$5*$B$6,SUM($D$18:D66),"")</f>
        <v>42118.147837563767</v>
      </c>
      <c r="F66" s="2">
        <f t="shared" si="11"/>
        <v>77881.852162436233</v>
      </c>
      <c r="G66" s="2">
        <f t="shared" si="12"/>
        <v>0</v>
      </c>
      <c r="H66" s="2">
        <f t="shared" si="13"/>
        <v>77881.852162436233</v>
      </c>
    </row>
    <row r="67" spans="1:8" x14ac:dyDescent="0.15">
      <c r="A67" s="5">
        <f t="shared" si="14"/>
        <v>50</v>
      </c>
      <c r="B67" s="2">
        <f t="shared" si="15"/>
        <v>1264.0703458786772</v>
      </c>
      <c r="C67" s="23">
        <f t="shared" si="9"/>
        <v>314.84387752099525</v>
      </c>
      <c r="D67" s="2">
        <f t="shared" si="10"/>
        <v>949.22646835768194</v>
      </c>
      <c r="E67" s="2">
        <f>IF(A67&lt;=$B$5*$B$6,SUM($D$18:D67),"")</f>
        <v>43067.374305921447</v>
      </c>
      <c r="F67" s="2">
        <f t="shared" si="11"/>
        <v>76932.625694078553</v>
      </c>
      <c r="G67" s="2">
        <f t="shared" si="12"/>
        <v>0</v>
      </c>
      <c r="H67" s="2">
        <f t="shared" si="13"/>
        <v>76932.625694078553</v>
      </c>
    </row>
    <row r="68" spans="1:8" x14ac:dyDescent="0.15">
      <c r="A68" s="5">
        <f t="shared" si="14"/>
        <v>51</v>
      </c>
      <c r="B68" s="2">
        <f t="shared" si="15"/>
        <v>1264.0703458786772</v>
      </c>
      <c r="C68" s="23">
        <f t="shared" si="9"/>
        <v>311.00655042045361</v>
      </c>
      <c r="D68" s="2">
        <f t="shared" si="10"/>
        <v>953.06379545822369</v>
      </c>
      <c r="E68" s="2">
        <f>IF(A68&lt;=$B$5*$B$6,SUM($D$18:D68),"")</f>
        <v>44020.438101379674</v>
      </c>
      <c r="F68" s="2">
        <f t="shared" si="11"/>
        <v>75979.561898620334</v>
      </c>
      <c r="G68" s="2">
        <f t="shared" si="12"/>
        <v>0</v>
      </c>
      <c r="H68" s="2">
        <f t="shared" si="13"/>
        <v>75979.561898620334</v>
      </c>
    </row>
    <row r="69" spans="1:8" x14ac:dyDescent="0.15">
      <c r="A69" s="5">
        <f t="shared" si="14"/>
        <v>52</v>
      </c>
      <c r="B69" s="2">
        <f t="shared" si="15"/>
        <v>1264.0703458786772</v>
      </c>
      <c r="C69" s="23">
        <f t="shared" si="9"/>
        <v>307.15371060533079</v>
      </c>
      <c r="D69" s="2">
        <f t="shared" si="10"/>
        <v>956.9166352733464</v>
      </c>
      <c r="E69" s="2">
        <f>IF(A69&lt;=$B$5*$B$6,SUM($D$18:D69),"")</f>
        <v>44977.354736653018</v>
      </c>
      <c r="F69" s="2">
        <f t="shared" si="11"/>
        <v>75022.645263346989</v>
      </c>
      <c r="G69" s="2">
        <f t="shared" si="12"/>
        <v>0</v>
      </c>
      <c r="H69" s="2">
        <f t="shared" si="13"/>
        <v>75022.645263346989</v>
      </c>
    </row>
    <row r="70" spans="1:8" x14ac:dyDescent="0.15">
      <c r="A70" s="6">
        <f t="shared" si="14"/>
        <v>53</v>
      </c>
      <c r="B70" s="3">
        <f t="shared" si="15"/>
        <v>1264.0703458786772</v>
      </c>
      <c r="C70" s="16">
        <f t="shared" si="9"/>
        <v>303.28529536418529</v>
      </c>
      <c r="D70" s="3">
        <f t="shared" si="10"/>
        <v>960.78505051449201</v>
      </c>
      <c r="E70" s="3">
        <f>IF(A70&lt;=$B$5*$B$6,SUM($D$18:D70),"")</f>
        <v>45938.139787167507</v>
      </c>
      <c r="F70" s="3">
        <f t="shared" si="11"/>
        <v>74061.860212832486</v>
      </c>
      <c r="G70" s="3">
        <f t="shared" si="12"/>
        <v>0</v>
      </c>
      <c r="H70" s="3">
        <f t="shared" si="13"/>
        <v>74061.860212832486</v>
      </c>
    </row>
    <row r="71" spans="1:8" x14ac:dyDescent="0.15">
      <c r="A71" s="6">
        <f t="shared" si="14"/>
        <v>54</v>
      </c>
      <c r="B71" s="3">
        <f t="shared" si="15"/>
        <v>1264.0703458786772</v>
      </c>
      <c r="C71" s="16">
        <f t="shared" si="9"/>
        <v>299.40124173205965</v>
      </c>
      <c r="D71" s="3">
        <f t="shared" si="10"/>
        <v>964.66910414661766</v>
      </c>
      <c r="E71" s="3">
        <f>IF(A71&lt;=$B$5*$B$6,SUM($D$18:D71),"")</f>
        <v>46902.808891314126</v>
      </c>
      <c r="F71" s="3">
        <f t="shared" si="11"/>
        <v>73097.191108685874</v>
      </c>
      <c r="G71" s="3">
        <f t="shared" si="12"/>
        <v>0</v>
      </c>
      <c r="H71" s="3">
        <f t="shared" si="13"/>
        <v>73097.191108685874</v>
      </c>
    </row>
    <row r="72" spans="1:8" x14ac:dyDescent="0.15">
      <c r="A72" s="6">
        <f t="shared" si="14"/>
        <v>55</v>
      </c>
      <c r="B72" s="3">
        <f t="shared" si="15"/>
        <v>1264.0703458786772</v>
      </c>
      <c r="C72" s="16">
        <f t="shared" si="9"/>
        <v>295.50148648945486</v>
      </c>
      <c r="D72" s="3">
        <f t="shared" si="10"/>
        <v>968.56885938922244</v>
      </c>
      <c r="E72" s="3">
        <f>IF(A72&lt;=$B$5*$B$6,SUM($D$18:D72),"")</f>
        <v>47871.377750703345</v>
      </c>
      <c r="F72" s="3">
        <f t="shared" si="11"/>
        <v>72128.622249296663</v>
      </c>
      <c r="G72" s="3">
        <f t="shared" si="12"/>
        <v>0</v>
      </c>
      <c r="H72" s="3">
        <f t="shared" si="13"/>
        <v>72128.622249296663</v>
      </c>
    </row>
    <row r="73" spans="1:8" x14ac:dyDescent="0.15">
      <c r="A73" s="6">
        <f t="shared" si="14"/>
        <v>56</v>
      </c>
      <c r="B73" s="3">
        <f t="shared" si="15"/>
        <v>1264.0703458786772</v>
      </c>
      <c r="C73" s="16">
        <f t="shared" si="9"/>
        <v>291.58596616130234</v>
      </c>
      <c r="D73" s="3">
        <f t="shared" si="10"/>
        <v>972.48437971737496</v>
      </c>
      <c r="E73" s="3">
        <f>IF(A73&lt;=$B$5*$B$6,SUM($D$18:D73),"")</f>
        <v>48843.862130420719</v>
      </c>
      <c r="F73" s="3">
        <f t="shared" si="11"/>
        <v>71156.137869579281</v>
      </c>
      <c r="G73" s="3">
        <f t="shared" si="12"/>
        <v>0</v>
      </c>
      <c r="H73" s="3">
        <f t="shared" si="13"/>
        <v>71156.137869579281</v>
      </c>
    </row>
    <row r="74" spans="1:8" x14ac:dyDescent="0.15">
      <c r="A74" s="6">
        <f t="shared" si="14"/>
        <v>57</v>
      </c>
      <c r="B74" s="3">
        <f t="shared" si="15"/>
        <v>1264.0703458786772</v>
      </c>
      <c r="C74" s="16">
        <f t="shared" si="9"/>
        <v>287.65461701592989</v>
      </c>
      <c r="D74" s="3">
        <f t="shared" si="10"/>
        <v>976.4157288627473</v>
      </c>
      <c r="E74" s="3">
        <f>IF(A74&lt;=$B$5*$B$6,SUM($D$18:D74),"")</f>
        <v>49820.277859283466</v>
      </c>
      <c r="F74" s="3">
        <f t="shared" si="11"/>
        <v>70179.722140716534</v>
      </c>
      <c r="G74" s="3">
        <f t="shared" si="12"/>
        <v>0</v>
      </c>
      <c r="H74" s="3">
        <f t="shared" si="13"/>
        <v>70179.722140716534</v>
      </c>
    </row>
    <row r="75" spans="1:8" x14ac:dyDescent="0.15">
      <c r="A75" s="6">
        <f t="shared" si="14"/>
        <v>58</v>
      </c>
      <c r="B75" s="3">
        <f t="shared" si="15"/>
        <v>1264.0703458786772</v>
      </c>
      <c r="C75" s="16">
        <f t="shared" si="9"/>
        <v>283.70737506402486</v>
      </c>
      <c r="D75" s="3">
        <f t="shared" si="10"/>
        <v>980.36297081465239</v>
      </c>
      <c r="E75" s="3">
        <f>IF(A75&lt;=$B$5*$B$6,SUM($D$18:D75),"")</f>
        <v>50800.64083009812</v>
      </c>
      <c r="F75" s="3">
        <f t="shared" si="11"/>
        <v>69199.359169901873</v>
      </c>
      <c r="G75" s="3">
        <f t="shared" si="12"/>
        <v>0</v>
      </c>
      <c r="H75" s="3">
        <f t="shared" si="13"/>
        <v>69199.359169901873</v>
      </c>
    </row>
    <row r="76" spans="1:8" x14ac:dyDescent="0.15">
      <c r="A76" s="6">
        <f t="shared" si="14"/>
        <v>59</v>
      </c>
      <c r="B76" s="3">
        <f t="shared" si="15"/>
        <v>1264.0703458786772</v>
      </c>
      <c r="C76" s="16">
        <f t="shared" si="9"/>
        <v>279.74417605759231</v>
      </c>
      <c r="D76" s="3">
        <f t="shared" si="10"/>
        <v>984.32616982108482</v>
      </c>
      <c r="E76" s="3">
        <f>IF(A76&lt;=$B$5*$B$6,SUM($D$18:D76),"")</f>
        <v>51784.966999919205</v>
      </c>
      <c r="F76" s="3">
        <f t="shared" si="11"/>
        <v>68215.033000080788</v>
      </c>
      <c r="G76" s="3">
        <f t="shared" si="12"/>
        <v>0</v>
      </c>
      <c r="H76" s="3">
        <f t="shared" si="13"/>
        <v>68215.033000080788</v>
      </c>
    </row>
    <row r="77" spans="1:8" x14ac:dyDescent="0.15">
      <c r="A77" s="6">
        <f t="shared" si="14"/>
        <v>60</v>
      </c>
      <c r="B77" s="3">
        <f t="shared" si="15"/>
        <v>1264.0703458786772</v>
      </c>
      <c r="C77" s="16">
        <f t="shared" si="9"/>
        <v>275.76495548890978</v>
      </c>
      <c r="D77" s="3">
        <f t="shared" si="10"/>
        <v>988.30539038976747</v>
      </c>
      <c r="E77" s="3">
        <f>IF(A77&lt;=$B$5*$B$6,SUM($D$18:D77),"")</f>
        <v>52773.272390308972</v>
      </c>
      <c r="F77" s="3">
        <f t="shared" si="11"/>
        <v>67226.727609691035</v>
      </c>
      <c r="G77" s="3">
        <f t="shared" si="12"/>
        <v>0</v>
      </c>
      <c r="H77" s="3">
        <f t="shared" si="13"/>
        <v>67226.727609691035</v>
      </c>
    </row>
    <row r="78" spans="1:8" x14ac:dyDescent="0.15">
      <c r="A78" s="6">
        <f t="shared" si="14"/>
        <v>61</v>
      </c>
      <c r="B78" s="3">
        <f t="shared" si="15"/>
        <v>1264.0703458786772</v>
      </c>
      <c r="C78" s="16">
        <f t="shared" si="9"/>
        <v>271.76964858947662</v>
      </c>
      <c r="D78" s="3">
        <f t="shared" si="10"/>
        <v>992.30069728920068</v>
      </c>
      <c r="E78" s="3">
        <f>IF(A78&lt;=$B$5*$B$6,SUM($D$18:D78),"")</f>
        <v>53765.573087598175</v>
      </c>
      <c r="F78" s="3">
        <f t="shared" si="11"/>
        <v>66234.426912401832</v>
      </c>
      <c r="G78" s="3">
        <f t="shared" si="12"/>
        <v>0</v>
      </c>
      <c r="H78" s="3">
        <f t="shared" si="13"/>
        <v>66234.426912401832</v>
      </c>
    </row>
    <row r="79" spans="1:8" x14ac:dyDescent="0.15">
      <c r="A79" s="6">
        <f t="shared" si="14"/>
        <v>62</v>
      </c>
      <c r="B79" s="3">
        <f t="shared" si="15"/>
        <v>1264.0703458786772</v>
      </c>
      <c r="C79" s="16">
        <f t="shared" si="9"/>
        <v>267.75819032896021</v>
      </c>
      <c r="D79" s="3">
        <f t="shared" si="10"/>
        <v>996.31215554971709</v>
      </c>
      <c r="E79" s="3">
        <f>IF(A79&lt;=$B$5*$B$6,SUM($D$18:D79),"")</f>
        <v>54761.885243147895</v>
      </c>
      <c r="F79" s="3">
        <f t="shared" si="11"/>
        <v>65238.114756852105</v>
      </c>
      <c r="G79" s="3">
        <f t="shared" si="12"/>
        <v>0</v>
      </c>
      <c r="H79" s="3">
        <f t="shared" si="13"/>
        <v>65238.114756852105</v>
      </c>
    </row>
    <row r="80" spans="1:8" x14ac:dyDescent="0.15">
      <c r="A80" s="6">
        <f t="shared" si="14"/>
        <v>63</v>
      </c>
      <c r="B80" s="3">
        <f t="shared" si="15"/>
        <v>1264.0703458786772</v>
      </c>
      <c r="C80" s="16">
        <f t="shared" si="9"/>
        <v>263.73051541413759</v>
      </c>
      <c r="D80" s="3">
        <f t="shared" si="10"/>
        <v>1000.3398304645397</v>
      </c>
      <c r="E80" s="3">
        <f>IF(A80&lt;=$B$5*$B$6,SUM($D$18:D80),"")</f>
        <v>55762.225073612433</v>
      </c>
      <c r="F80" s="3">
        <f t="shared" si="11"/>
        <v>64237.774926387567</v>
      </c>
      <c r="G80" s="3">
        <f t="shared" si="12"/>
        <v>0</v>
      </c>
      <c r="H80" s="3">
        <f t="shared" si="13"/>
        <v>64237.774926387567</v>
      </c>
    </row>
    <row r="81" spans="1:8" x14ac:dyDescent="0.15">
      <c r="A81" s="6">
        <f t="shared" si="14"/>
        <v>64</v>
      </c>
      <c r="B81" s="3">
        <f t="shared" si="15"/>
        <v>1264.0703458786772</v>
      </c>
      <c r="C81" s="16">
        <f t="shared" si="9"/>
        <v>259.6865582878321</v>
      </c>
      <c r="D81" s="3">
        <f t="shared" si="10"/>
        <v>1004.3837875908451</v>
      </c>
      <c r="E81" s="3">
        <f>IF(A81&lt;=$B$5*$B$6,SUM($D$18:D81),"")</f>
        <v>56766.608861203276</v>
      </c>
      <c r="F81" s="3">
        <f t="shared" si="11"/>
        <v>63233.391138796724</v>
      </c>
      <c r="G81" s="3">
        <f t="shared" si="12"/>
        <v>0</v>
      </c>
      <c r="H81" s="3">
        <f t="shared" si="13"/>
        <v>63233.391138796724</v>
      </c>
    </row>
    <row r="82" spans="1:8" x14ac:dyDescent="0.15">
      <c r="A82" s="6">
        <f t="shared" si="14"/>
        <v>65</v>
      </c>
      <c r="B82" s="3">
        <f t="shared" si="15"/>
        <v>1264.0703458786772</v>
      </c>
      <c r="C82" s="16">
        <f t="shared" si="9"/>
        <v>255.62625312784715</v>
      </c>
      <c r="D82" s="3">
        <f t="shared" si="10"/>
        <v>1008.4440927508301</v>
      </c>
      <c r="E82" s="3">
        <f>IF(A82&lt;=$B$5*$B$6,SUM($D$18:D82),"")</f>
        <v>57775.052953954109</v>
      </c>
      <c r="F82" s="3">
        <f t="shared" si="11"/>
        <v>62224.947046045891</v>
      </c>
      <c r="G82" s="3">
        <f t="shared" si="12"/>
        <v>0</v>
      </c>
      <c r="H82" s="3">
        <f t="shared" si="13"/>
        <v>62224.947046045891</v>
      </c>
    </row>
    <row r="83" spans="1:8" x14ac:dyDescent="0.15">
      <c r="A83" s="6">
        <f t="shared" ref="A83:A114" si="16">IF(A82&lt;$B$5*$B$6,A82+1,"")</f>
        <v>66</v>
      </c>
      <c r="B83" s="3">
        <f t="shared" ref="B83:B114" si="17">IF(A83&lt;=$B$5*$B$6,-PMT($B$4/$B$6,$B$5*$B$6,$B$3,,$B$12),"")</f>
        <v>1264.0703458786772</v>
      </c>
      <c r="C83" s="16">
        <f t="shared" ref="C83:C146" si="18">IF(A83&lt;=$B$5*$B$6,-IPMT($B$4/$B$6,A83,$B$5*$B$6,$B$3,,$B$12),"")</f>
        <v>251.54953384589422</v>
      </c>
      <c r="D83" s="3">
        <f t="shared" ref="D83:D146" si="19">IF(A83&lt;=$B$5*$B$6,-PPMT($B$4/$B$6,A83,$B$5*$B$6,$B$3,,$B$12),"")</f>
        <v>1012.5208120327829</v>
      </c>
      <c r="E83" s="3">
        <f>IF(A83&lt;=$B$5*$B$6,SUM($D$18:D83),"")</f>
        <v>58787.57376598689</v>
      </c>
      <c r="F83" s="3">
        <f t="shared" ref="F83:F146" si="20">IF(A83&lt;=$B$5*$B$6,$B$3-E83,"")</f>
        <v>61212.42623401311</v>
      </c>
      <c r="G83" s="3">
        <f t="shared" ref="G83:G146" si="21">IF(F83="","",$B$11*F83)</f>
        <v>0</v>
      </c>
      <c r="H83" s="3">
        <f t="shared" ref="H83:H146" si="22">IF(G83="","",F83+G83)</f>
        <v>61212.42623401311</v>
      </c>
    </row>
    <row r="84" spans="1:8" x14ac:dyDescent="0.15">
      <c r="A84" s="6">
        <f t="shared" si="16"/>
        <v>67</v>
      </c>
      <c r="B84" s="3">
        <f t="shared" si="17"/>
        <v>1264.0703458786772</v>
      </c>
      <c r="C84" s="16">
        <f t="shared" si="18"/>
        <v>247.45633408651736</v>
      </c>
      <c r="D84" s="3">
        <f t="shared" si="19"/>
        <v>1016.6140117921598</v>
      </c>
      <c r="E84" s="3">
        <f>IF(A84&lt;=$B$5*$B$6,SUM($D$18:D84),"")</f>
        <v>59804.187777779051</v>
      </c>
      <c r="F84" s="3">
        <f t="shared" si="20"/>
        <v>60195.812222220949</v>
      </c>
      <c r="G84" s="3">
        <f t="shared" si="21"/>
        <v>0</v>
      </c>
      <c r="H84" s="3">
        <f t="shared" si="22"/>
        <v>60195.812222220949</v>
      </c>
    </row>
    <row r="85" spans="1:8" x14ac:dyDescent="0.15">
      <c r="A85" s="6">
        <f t="shared" si="16"/>
        <v>68</v>
      </c>
      <c r="B85" s="3">
        <f t="shared" si="17"/>
        <v>1264.0703458786772</v>
      </c>
      <c r="C85" s="16">
        <f t="shared" si="18"/>
        <v>243.34658722601324</v>
      </c>
      <c r="D85" s="3">
        <f t="shared" si="19"/>
        <v>1020.7237586526639</v>
      </c>
      <c r="E85" s="3">
        <f>IF(A85&lt;=$B$5*$B$6,SUM($D$18:D85),"")</f>
        <v>60824.911536431711</v>
      </c>
      <c r="F85" s="3">
        <f t="shared" si="20"/>
        <v>59175.088463568289</v>
      </c>
      <c r="G85" s="3">
        <f t="shared" si="21"/>
        <v>0</v>
      </c>
      <c r="H85" s="3">
        <f t="shared" si="22"/>
        <v>59175.088463568289</v>
      </c>
    </row>
    <row r="86" spans="1:8" x14ac:dyDescent="0.15">
      <c r="A86" s="6">
        <f t="shared" si="16"/>
        <v>69</v>
      </c>
      <c r="B86" s="3">
        <f t="shared" si="17"/>
        <v>1264.0703458786772</v>
      </c>
      <c r="C86" s="16">
        <f t="shared" si="18"/>
        <v>239.2202263713466</v>
      </c>
      <c r="D86" s="3">
        <f t="shared" si="19"/>
        <v>1024.8501195073306</v>
      </c>
      <c r="E86" s="3">
        <f>IF(A86&lt;=$B$5*$B$6,SUM($D$18:D86),"")</f>
        <v>61849.761655939044</v>
      </c>
      <c r="F86" s="3">
        <f t="shared" si="20"/>
        <v>58150.238344060956</v>
      </c>
      <c r="G86" s="3">
        <f t="shared" si="21"/>
        <v>0</v>
      </c>
      <c r="H86" s="3">
        <f t="shared" si="22"/>
        <v>58150.238344060956</v>
      </c>
    </row>
    <row r="87" spans="1:8" x14ac:dyDescent="0.15">
      <c r="A87" s="6">
        <f t="shared" si="16"/>
        <v>70</v>
      </c>
      <c r="B87" s="3">
        <f t="shared" si="17"/>
        <v>1264.0703458786772</v>
      </c>
      <c r="C87" s="16">
        <f t="shared" si="18"/>
        <v>235.07718435906168</v>
      </c>
      <c r="D87" s="3">
        <f t="shared" si="19"/>
        <v>1028.9931615196156</v>
      </c>
      <c r="E87" s="3">
        <f>IF(A87&lt;=$B$5*$B$6,SUM($D$18:D87),"")</f>
        <v>62878.754817458663</v>
      </c>
      <c r="F87" s="3">
        <f t="shared" si="20"/>
        <v>57121.245182541337</v>
      </c>
      <c r="G87" s="3">
        <f t="shared" si="21"/>
        <v>0</v>
      </c>
      <c r="H87" s="3">
        <f t="shared" si="22"/>
        <v>57121.245182541337</v>
      </c>
    </row>
    <row r="88" spans="1:8" x14ac:dyDescent="0.15">
      <c r="A88" s="6">
        <f t="shared" si="16"/>
        <v>71</v>
      </c>
      <c r="B88" s="3">
        <f t="shared" si="17"/>
        <v>1264.0703458786772</v>
      </c>
      <c r="C88" s="16">
        <f t="shared" si="18"/>
        <v>230.91739375418845</v>
      </c>
      <c r="D88" s="3">
        <f t="shared" si="19"/>
        <v>1033.1529521244888</v>
      </c>
      <c r="E88" s="3">
        <f>IF(A88&lt;=$B$5*$B$6,SUM($D$18:D88),"")</f>
        <v>63911.907769583151</v>
      </c>
      <c r="F88" s="3">
        <f t="shared" si="20"/>
        <v>56088.092230416849</v>
      </c>
      <c r="G88" s="3">
        <f t="shared" si="21"/>
        <v>0</v>
      </c>
      <c r="H88" s="3">
        <f t="shared" si="22"/>
        <v>56088.092230416849</v>
      </c>
    </row>
    <row r="89" spans="1:8" x14ac:dyDescent="0.15">
      <c r="A89" s="6">
        <f t="shared" si="16"/>
        <v>72</v>
      </c>
      <c r="B89" s="3">
        <f t="shared" si="17"/>
        <v>1264.0703458786772</v>
      </c>
      <c r="C89" s="16">
        <f t="shared" si="18"/>
        <v>226.74078684914585</v>
      </c>
      <c r="D89" s="3">
        <f t="shared" si="19"/>
        <v>1037.3295590295315</v>
      </c>
      <c r="E89" s="3">
        <f>IF(A89&lt;=$B$5*$B$6,SUM($D$18:D89),"")</f>
        <v>64949.237328612682</v>
      </c>
      <c r="F89" s="3">
        <f t="shared" si="20"/>
        <v>55050.762671387318</v>
      </c>
      <c r="G89" s="3">
        <f t="shared" si="21"/>
        <v>0</v>
      </c>
      <c r="H89" s="3">
        <f t="shared" si="22"/>
        <v>55050.762671387318</v>
      </c>
    </row>
    <row r="90" spans="1:8" x14ac:dyDescent="0.15">
      <c r="A90" s="6">
        <f t="shared" si="16"/>
        <v>73</v>
      </c>
      <c r="B90" s="3">
        <f t="shared" si="17"/>
        <v>1264.0703458786772</v>
      </c>
      <c r="C90" s="16">
        <f t="shared" si="18"/>
        <v>222.54729566263904</v>
      </c>
      <c r="D90" s="3">
        <f t="shared" si="19"/>
        <v>1041.5230502160382</v>
      </c>
      <c r="E90" s="3">
        <f>IF(A90&lt;=$B$5*$B$6,SUM($D$18:D90),"")</f>
        <v>65990.760378828723</v>
      </c>
      <c r="F90" s="3">
        <f t="shared" si="20"/>
        <v>54009.239621171277</v>
      </c>
      <c r="G90" s="3">
        <f t="shared" si="21"/>
        <v>0</v>
      </c>
      <c r="H90" s="3">
        <f t="shared" si="22"/>
        <v>54009.239621171277</v>
      </c>
    </row>
    <row r="91" spans="1:8" x14ac:dyDescent="0.15">
      <c r="A91" s="6">
        <f t="shared" si="16"/>
        <v>74</v>
      </c>
      <c r="B91" s="3">
        <f t="shared" si="17"/>
        <v>1264.0703458786772</v>
      </c>
      <c r="C91" s="16">
        <f t="shared" si="18"/>
        <v>218.3368519385532</v>
      </c>
      <c r="D91" s="3">
        <f t="shared" si="19"/>
        <v>1045.7334939401239</v>
      </c>
      <c r="E91" s="3">
        <f>IF(A91&lt;=$B$5*$B$6,SUM($D$18:D91),"")</f>
        <v>67036.493872768842</v>
      </c>
      <c r="F91" s="3">
        <f t="shared" si="20"/>
        <v>52963.506127231158</v>
      </c>
      <c r="G91" s="3">
        <f t="shared" si="21"/>
        <v>0</v>
      </c>
      <c r="H91" s="3">
        <f t="shared" si="22"/>
        <v>52963.506127231158</v>
      </c>
    </row>
    <row r="92" spans="1:8" x14ac:dyDescent="0.15">
      <c r="A92" s="6">
        <f t="shared" si="16"/>
        <v>75</v>
      </c>
      <c r="B92" s="3">
        <f t="shared" si="17"/>
        <v>1264.0703458786772</v>
      </c>
      <c r="C92" s="16">
        <f t="shared" si="18"/>
        <v>214.10938714484246</v>
      </c>
      <c r="D92" s="3">
        <f t="shared" si="19"/>
        <v>1049.9609587338348</v>
      </c>
      <c r="E92" s="3">
        <f>IF(A92&lt;=$B$5*$B$6,SUM($D$18:D92),"")</f>
        <v>68086.454831502677</v>
      </c>
      <c r="F92" s="3">
        <f t="shared" si="20"/>
        <v>51913.545168497323</v>
      </c>
      <c r="G92" s="3">
        <f t="shared" si="21"/>
        <v>0</v>
      </c>
      <c r="H92" s="3">
        <f t="shared" si="22"/>
        <v>51913.545168497323</v>
      </c>
    </row>
    <row r="93" spans="1:8" x14ac:dyDescent="0.15">
      <c r="A93" s="6">
        <f t="shared" si="16"/>
        <v>76</v>
      </c>
      <c r="B93" s="3">
        <f t="shared" si="17"/>
        <v>1264.0703458786772</v>
      </c>
      <c r="C93" s="16">
        <f t="shared" si="18"/>
        <v>209.86483247241432</v>
      </c>
      <c r="D93" s="3">
        <f t="shared" si="19"/>
        <v>1054.205513406263</v>
      </c>
      <c r="E93" s="3">
        <f>IF(A93&lt;=$B$5*$B$6,SUM($D$18:D93),"")</f>
        <v>69140.660344908945</v>
      </c>
      <c r="F93" s="3">
        <f t="shared" si="20"/>
        <v>50859.339655091055</v>
      </c>
      <c r="G93" s="3">
        <f t="shared" si="21"/>
        <v>0</v>
      </c>
      <c r="H93" s="3">
        <f t="shared" si="22"/>
        <v>50859.339655091055</v>
      </c>
    </row>
    <row r="94" spans="1:8" x14ac:dyDescent="0.15">
      <c r="A94" s="6">
        <f t="shared" si="16"/>
        <v>77</v>
      </c>
      <c r="B94" s="3">
        <f t="shared" si="17"/>
        <v>1264.0703458786772</v>
      </c>
      <c r="C94" s="16">
        <f t="shared" si="18"/>
        <v>205.60311883401005</v>
      </c>
      <c r="D94" s="3">
        <f t="shared" si="19"/>
        <v>1058.4672270446672</v>
      </c>
      <c r="E94" s="3">
        <f>IF(A94&lt;=$B$5*$B$6,SUM($D$18:D94),"")</f>
        <v>70199.127571953606</v>
      </c>
      <c r="F94" s="3">
        <f t="shared" si="20"/>
        <v>49800.872428046394</v>
      </c>
      <c r="G94" s="3">
        <f t="shared" si="21"/>
        <v>0</v>
      </c>
      <c r="H94" s="3">
        <f t="shared" si="22"/>
        <v>49800.872428046394</v>
      </c>
    </row>
    <row r="95" spans="1:8" x14ac:dyDescent="0.15">
      <c r="A95" s="6">
        <f t="shared" si="16"/>
        <v>78</v>
      </c>
      <c r="B95" s="3">
        <f t="shared" si="17"/>
        <v>1264.0703458786772</v>
      </c>
      <c r="C95" s="16">
        <f t="shared" si="18"/>
        <v>201.32417686307974</v>
      </c>
      <c r="D95" s="3">
        <f t="shared" si="19"/>
        <v>1062.7461690155974</v>
      </c>
      <c r="E95" s="3">
        <f>IF(A95&lt;=$B$5*$B$6,SUM($D$18:D95),"")</f>
        <v>71261.873740969197</v>
      </c>
      <c r="F95" s="3">
        <f t="shared" si="20"/>
        <v>48738.126259030803</v>
      </c>
      <c r="G95" s="3">
        <f t="shared" si="21"/>
        <v>0</v>
      </c>
      <c r="H95" s="3">
        <f t="shared" si="22"/>
        <v>48738.126259030803</v>
      </c>
    </row>
    <row r="96" spans="1:8" x14ac:dyDescent="0.15">
      <c r="A96" s="6">
        <f t="shared" si="16"/>
        <v>79</v>
      </c>
      <c r="B96" s="3">
        <f t="shared" si="17"/>
        <v>1264.0703458786772</v>
      </c>
      <c r="C96" s="16">
        <f t="shared" si="18"/>
        <v>197.02793691265342</v>
      </c>
      <c r="D96" s="3">
        <f t="shared" si="19"/>
        <v>1067.0424089660237</v>
      </c>
      <c r="E96" s="3">
        <f>IF(A96&lt;=$B$5*$B$6,SUM($D$18:D96),"")</f>
        <v>72328.916149935219</v>
      </c>
      <c r="F96" s="3">
        <f t="shared" si="20"/>
        <v>47671.083850064781</v>
      </c>
      <c r="G96" s="3">
        <f t="shared" si="21"/>
        <v>0</v>
      </c>
      <c r="H96" s="3">
        <f t="shared" si="22"/>
        <v>47671.083850064781</v>
      </c>
    </row>
    <row r="97" spans="1:8" x14ac:dyDescent="0.15">
      <c r="A97" s="6">
        <f t="shared" si="16"/>
        <v>80</v>
      </c>
      <c r="B97" s="3">
        <f t="shared" si="17"/>
        <v>1264.0703458786772</v>
      </c>
      <c r="C97" s="16">
        <f t="shared" si="18"/>
        <v>192.71432905420752</v>
      </c>
      <c r="D97" s="3">
        <f t="shared" si="19"/>
        <v>1071.3560168244699</v>
      </c>
      <c r="E97" s="3">
        <f>IF(A97&lt;=$B$5*$B$6,SUM($D$18:D97),"")</f>
        <v>73400.272166759692</v>
      </c>
      <c r="F97" s="3">
        <f t="shared" si="20"/>
        <v>46599.727833240308</v>
      </c>
      <c r="G97" s="3">
        <f t="shared" si="21"/>
        <v>0</v>
      </c>
      <c r="H97" s="3">
        <f t="shared" si="22"/>
        <v>46599.727833240308</v>
      </c>
    </row>
    <row r="98" spans="1:8" x14ac:dyDescent="0.15">
      <c r="A98" s="6">
        <f t="shared" si="16"/>
        <v>81</v>
      </c>
      <c r="B98" s="3">
        <f t="shared" si="17"/>
        <v>1264.0703458786772</v>
      </c>
      <c r="C98" s="16">
        <f t="shared" si="18"/>
        <v>188.38328307652654</v>
      </c>
      <c r="D98" s="3">
        <f t="shared" si="19"/>
        <v>1075.6870628021509</v>
      </c>
      <c r="E98" s="3">
        <f>IF(A98&lt;=$B$5*$B$6,SUM($D$18:D98),"")</f>
        <v>74475.959229561849</v>
      </c>
      <c r="F98" s="3">
        <f t="shared" si="20"/>
        <v>45524.040770438151</v>
      </c>
      <c r="G98" s="3">
        <f t="shared" si="21"/>
        <v>0</v>
      </c>
      <c r="H98" s="3">
        <f t="shared" si="22"/>
        <v>45524.040770438151</v>
      </c>
    </row>
    <row r="99" spans="1:8" x14ac:dyDescent="0.15">
      <c r="A99" s="6">
        <f t="shared" si="16"/>
        <v>82</v>
      </c>
      <c r="B99" s="3">
        <f t="shared" si="17"/>
        <v>1264.0703458786772</v>
      </c>
      <c r="C99" s="16">
        <f t="shared" si="18"/>
        <v>184.0347284845603</v>
      </c>
      <c r="D99" s="3">
        <f t="shared" si="19"/>
        <v>1080.0356173941168</v>
      </c>
      <c r="E99" s="3">
        <f>IF(A99&lt;=$B$5*$B$6,SUM($D$18:D99),"")</f>
        <v>75555.99484695596</v>
      </c>
      <c r="F99" s="3">
        <f t="shared" si="20"/>
        <v>44444.00515304404</v>
      </c>
      <c r="G99" s="3">
        <f t="shared" si="21"/>
        <v>0</v>
      </c>
      <c r="H99" s="3">
        <f t="shared" si="22"/>
        <v>44444.00515304404</v>
      </c>
    </row>
    <row r="100" spans="1:8" x14ac:dyDescent="0.15">
      <c r="A100" s="6">
        <f t="shared" si="16"/>
        <v>83</v>
      </c>
      <c r="B100" s="3">
        <f t="shared" si="17"/>
        <v>1264.0703458786772</v>
      </c>
      <c r="C100" s="16">
        <f t="shared" si="18"/>
        <v>179.66859449827649</v>
      </c>
      <c r="D100" s="3">
        <f t="shared" si="19"/>
        <v>1084.4017513804008</v>
      </c>
      <c r="E100" s="3">
        <f>IF(A100&lt;=$B$5*$B$6,SUM($D$18:D100),"")</f>
        <v>76640.39659833636</v>
      </c>
      <c r="F100" s="3">
        <f t="shared" si="20"/>
        <v>43359.60340166364</v>
      </c>
      <c r="G100" s="3">
        <f t="shared" si="21"/>
        <v>0</v>
      </c>
      <c r="H100" s="3">
        <f t="shared" si="22"/>
        <v>43359.60340166364</v>
      </c>
    </row>
    <row r="101" spans="1:8" x14ac:dyDescent="0.15">
      <c r="A101" s="6">
        <f t="shared" si="16"/>
        <v>84</v>
      </c>
      <c r="B101" s="3">
        <f t="shared" si="17"/>
        <v>1264.0703458786772</v>
      </c>
      <c r="C101" s="16">
        <f t="shared" si="18"/>
        <v>175.28481005150854</v>
      </c>
      <c r="D101" s="3">
        <f t="shared" si="19"/>
        <v>1088.7855358271686</v>
      </c>
      <c r="E101" s="3">
        <f>IF(A101&lt;=$B$5*$B$6,SUM($D$18:D101),"")</f>
        <v>77729.182134163522</v>
      </c>
      <c r="F101" s="3">
        <f t="shared" si="20"/>
        <v>42270.817865836478</v>
      </c>
      <c r="G101" s="3">
        <f t="shared" si="21"/>
        <v>0</v>
      </c>
      <c r="H101" s="3">
        <f t="shared" si="22"/>
        <v>42270.817865836478</v>
      </c>
    </row>
    <row r="102" spans="1:8" x14ac:dyDescent="0.15">
      <c r="A102" s="6">
        <f t="shared" si="16"/>
        <v>85</v>
      </c>
      <c r="B102" s="3">
        <f t="shared" si="17"/>
        <v>1264.0703458786772</v>
      </c>
      <c r="C102" s="16">
        <f t="shared" si="18"/>
        <v>170.88330379079926</v>
      </c>
      <c r="D102" s="3">
        <f t="shared" si="19"/>
        <v>1093.1870420878779</v>
      </c>
      <c r="E102" s="3">
        <f>IF(A102&lt;=$B$5*$B$6,SUM($D$18:D102),"")</f>
        <v>78822.369176251406</v>
      </c>
      <c r="F102" s="3">
        <f t="shared" si="20"/>
        <v>41177.630823748594</v>
      </c>
      <c r="G102" s="3">
        <f t="shared" si="21"/>
        <v>0</v>
      </c>
      <c r="H102" s="3">
        <f t="shared" si="22"/>
        <v>41177.630823748594</v>
      </c>
    </row>
    <row r="103" spans="1:8" x14ac:dyDescent="0.15">
      <c r="A103" s="6">
        <f t="shared" si="16"/>
        <v>86</v>
      </c>
      <c r="B103" s="3">
        <f t="shared" si="17"/>
        <v>1264.0703458786772</v>
      </c>
      <c r="C103" s="16">
        <f t="shared" si="18"/>
        <v>166.46400407423883</v>
      </c>
      <c r="D103" s="3">
        <f t="shared" si="19"/>
        <v>1097.6063418044384</v>
      </c>
      <c r="E103" s="3">
        <f>IF(A103&lt;=$B$5*$B$6,SUM($D$18:D103),"")</f>
        <v>79919.975518055842</v>
      </c>
      <c r="F103" s="3">
        <f t="shared" si="20"/>
        <v>40080.024481944158</v>
      </c>
      <c r="G103" s="3">
        <f t="shared" si="21"/>
        <v>0</v>
      </c>
      <c r="H103" s="3">
        <f t="shared" si="22"/>
        <v>40080.024481944158</v>
      </c>
    </row>
    <row r="104" spans="1:8" x14ac:dyDescent="0.15">
      <c r="A104" s="6">
        <f t="shared" si="16"/>
        <v>87</v>
      </c>
      <c r="B104" s="3">
        <f t="shared" si="17"/>
        <v>1264.0703458786772</v>
      </c>
      <c r="C104" s="16">
        <f t="shared" si="18"/>
        <v>162.02683897029922</v>
      </c>
      <c r="D104" s="3">
        <f t="shared" si="19"/>
        <v>1102.0435069083778</v>
      </c>
      <c r="E104" s="3">
        <f>IF(A104&lt;=$B$5*$B$6,SUM($D$18:D104),"")</f>
        <v>81022.019024964218</v>
      </c>
      <c r="F104" s="3">
        <f t="shared" si="20"/>
        <v>38977.980975035782</v>
      </c>
      <c r="G104" s="3">
        <f t="shared" si="21"/>
        <v>0</v>
      </c>
      <c r="H104" s="3">
        <f t="shared" si="22"/>
        <v>38977.980975035782</v>
      </c>
    </row>
    <row r="105" spans="1:8" x14ac:dyDescent="0.15">
      <c r="A105" s="6">
        <f t="shared" si="16"/>
        <v>88</v>
      </c>
      <c r="B105" s="3">
        <f t="shared" si="17"/>
        <v>1264.0703458786772</v>
      </c>
      <c r="C105" s="16">
        <f t="shared" si="18"/>
        <v>157.5717362566632</v>
      </c>
      <c r="D105" s="3">
        <f t="shared" si="19"/>
        <v>1106.4986096220139</v>
      </c>
      <c r="E105" s="3">
        <f>IF(A105&lt;=$B$5*$B$6,SUM($D$18:D105),"")</f>
        <v>82128.517634586227</v>
      </c>
      <c r="F105" s="3">
        <f t="shared" si="20"/>
        <v>37871.482365413773</v>
      </c>
      <c r="G105" s="3">
        <f t="shared" si="21"/>
        <v>0</v>
      </c>
      <c r="H105" s="3">
        <f t="shared" si="22"/>
        <v>37871.482365413773</v>
      </c>
    </row>
    <row r="106" spans="1:8" x14ac:dyDescent="0.15">
      <c r="A106" s="6">
        <f t="shared" si="16"/>
        <v>89</v>
      </c>
      <c r="B106" s="3">
        <f t="shared" si="17"/>
        <v>1264.0703458786772</v>
      </c>
      <c r="C106" s="16">
        <f t="shared" si="18"/>
        <v>153.09862341904875</v>
      </c>
      <c r="D106" s="3">
        <f t="shared" si="19"/>
        <v>1110.9717224596286</v>
      </c>
      <c r="E106" s="3">
        <f>IF(A106&lt;=$B$5*$B$6,SUM($D$18:D106),"")</f>
        <v>83239.489357045852</v>
      </c>
      <c r="F106" s="3">
        <f t="shared" si="20"/>
        <v>36760.510642954148</v>
      </c>
      <c r="G106" s="3">
        <f t="shared" si="21"/>
        <v>0</v>
      </c>
      <c r="H106" s="3">
        <f t="shared" si="22"/>
        <v>36760.510642954148</v>
      </c>
    </row>
    <row r="107" spans="1:8" x14ac:dyDescent="0.15">
      <c r="A107" s="6">
        <f t="shared" si="16"/>
        <v>90</v>
      </c>
      <c r="B107" s="3">
        <f t="shared" si="17"/>
        <v>1264.0703458786772</v>
      </c>
      <c r="C107" s="16">
        <f t="shared" si="18"/>
        <v>148.60742765002882</v>
      </c>
      <c r="D107" s="3">
        <f t="shared" si="19"/>
        <v>1115.4629182286485</v>
      </c>
      <c r="E107" s="3">
        <f>IF(A107&lt;=$B$5*$B$6,SUM($D$18:D107),"")</f>
        <v>84354.952275274496</v>
      </c>
      <c r="F107" s="3">
        <f t="shared" si="20"/>
        <v>35645.047724725504</v>
      </c>
      <c r="G107" s="3">
        <f t="shared" si="21"/>
        <v>0</v>
      </c>
      <c r="H107" s="3">
        <f t="shared" si="22"/>
        <v>35645.047724725504</v>
      </c>
    </row>
    <row r="108" spans="1:8" x14ac:dyDescent="0.15">
      <c r="A108" s="6">
        <f t="shared" si="16"/>
        <v>91</v>
      </c>
      <c r="B108" s="3">
        <f t="shared" si="17"/>
        <v>1264.0703458786772</v>
      </c>
      <c r="C108" s="16">
        <f t="shared" si="18"/>
        <v>144.09807584784633</v>
      </c>
      <c r="D108" s="3">
        <f t="shared" si="19"/>
        <v>1119.9722700308309</v>
      </c>
      <c r="E108" s="3">
        <f>IF(A108&lt;=$B$5*$B$6,SUM($D$18:D108),"")</f>
        <v>85474.92454530533</v>
      </c>
      <c r="F108" s="3">
        <f t="shared" si="20"/>
        <v>34525.07545469467</v>
      </c>
      <c r="G108" s="3">
        <f t="shared" si="21"/>
        <v>0</v>
      </c>
      <c r="H108" s="3">
        <f t="shared" si="22"/>
        <v>34525.07545469467</v>
      </c>
    </row>
    <row r="109" spans="1:8" x14ac:dyDescent="0.15">
      <c r="A109" s="6">
        <f t="shared" si="16"/>
        <v>92</v>
      </c>
      <c r="B109" s="3">
        <f t="shared" si="17"/>
        <v>1264.0703458786772</v>
      </c>
      <c r="C109" s="16">
        <f t="shared" si="18"/>
        <v>139.57049461522419</v>
      </c>
      <c r="D109" s="3">
        <f t="shared" si="19"/>
        <v>1124.4998512634529</v>
      </c>
      <c r="E109" s="3">
        <f>IF(A109&lt;=$B$5*$B$6,SUM($D$18:D109),"")</f>
        <v>86599.424396568778</v>
      </c>
      <c r="F109" s="3">
        <f t="shared" si="20"/>
        <v>33400.575603431222</v>
      </c>
      <c r="G109" s="3">
        <f t="shared" si="21"/>
        <v>0</v>
      </c>
      <c r="H109" s="3">
        <f t="shared" si="22"/>
        <v>33400.575603431222</v>
      </c>
    </row>
    <row r="110" spans="1:8" x14ac:dyDescent="0.15">
      <c r="A110" s="6">
        <f t="shared" si="16"/>
        <v>93</v>
      </c>
      <c r="B110" s="3">
        <f t="shared" si="17"/>
        <v>1264.0703458786772</v>
      </c>
      <c r="C110" s="16">
        <f t="shared" si="18"/>
        <v>135.02461025817075</v>
      </c>
      <c r="D110" s="3">
        <f t="shared" si="19"/>
        <v>1129.0457356205065</v>
      </c>
      <c r="E110" s="3">
        <f>IF(A110&lt;=$B$5*$B$6,SUM($D$18:D110),"")</f>
        <v>87728.470132189279</v>
      </c>
      <c r="F110" s="3">
        <f t="shared" si="20"/>
        <v>32271.529867810721</v>
      </c>
      <c r="G110" s="3">
        <f t="shared" si="21"/>
        <v>0</v>
      </c>
      <c r="H110" s="3">
        <f t="shared" si="22"/>
        <v>32271.529867810721</v>
      </c>
    </row>
    <row r="111" spans="1:8" x14ac:dyDescent="0.15">
      <c r="A111" s="6">
        <f t="shared" si="16"/>
        <v>94</v>
      </c>
      <c r="B111" s="3">
        <f t="shared" si="17"/>
        <v>1264.0703458786772</v>
      </c>
      <c r="C111" s="16">
        <f t="shared" si="18"/>
        <v>130.46034878478022</v>
      </c>
      <c r="D111" s="3">
        <f t="shared" si="19"/>
        <v>1133.6099970938969</v>
      </c>
      <c r="E111" s="3">
        <f>IF(A111&lt;=$B$5*$B$6,SUM($D$18:D111),"")</f>
        <v>88862.080129283175</v>
      </c>
      <c r="F111" s="3">
        <f t="shared" si="20"/>
        <v>31137.919870716825</v>
      </c>
      <c r="G111" s="3">
        <f t="shared" si="21"/>
        <v>0</v>
      </c>
      <c r="H111" s="3">
        <f t="shared" si="22"/>
        <v>31137.919870716825</v>
      </c>
    </row>
    <row r="112" spans="1:8" x14ac:dyDescent="0.15">
      <c r="A112" s="6">
        <f t="shared" si="16"/>
        <v>95</v>
      </c>
      <c r="B112" s="3">
        <f t="shared" si="17"/>
        <v>1264.0703458786772</v>
      </c>
      <c r="C112" s="16">
        <f t="shared" si="18"/>
        <v>125.87763590402839</v>
      </c>
      <c r="D112" s="3">
        <f t="shared" si="19"/>
        <v>1138.1927099746488</v>
      </c>
      <c r="E112" s="3">
        <f>IF(A112&lt;=$B$5*$B$6,SUM($D$18:D112),"")</f>
        <v>90000.272839257828</v>
      </c>
      <c r="F112" s="3">
        <f t="shared" si="20"/>
        <v>29999.727160742172</v>
      </c>
      <c r="G112" s="3">
        <f t="shared" si="21"/>
        <v>0</v>
      </c>
      <c r="H112" s="3">
        <f t="shared" si="22"/>
        <v>29999.727160742172</v>
      </c>
    </row>
    <row r="113" spans="1:8" x14ac:dyDescent="0.15">
      <c r="A113" s="6">
        <f t="shared" si="16"/>
        <v>96</v>
      </c>
      <c r="B113" s="3">
        <f t="shared" si="17"/>
        <v>1264.0703458786772</v>
      </c>
      <c r="C113" s="16">
        <f t="shared" si="18"/>
        <v>121.27639702456337</v>
      </c>
      <c r="D113" s="3">
        <f t="shared" si="19"/>
        <v>1142.793948854114</v>
      </c>
      <c r="E113" s="3">
        <f>IF(A113&lt;=$B$5*$B$6,SUM($D$18:D113),"")</f>
        <v>91143.066788111944</v>
      </c>
      <c r="F113" s="3">
        <f t="shared" si="20"/>
        <v>28856.933211888056</v>
      </c>
      <c r="G113" s="3">
        <f t="shared" si="21"/>
        <v>0</v>
      </c>
      <c r="H113" s="3">
        <f t="shared" si="22"/>
        <v>28856.933211888056</v>
      </c>
    </row>
    <row r="114" spans="1:8" x14ac:dyDescent="0.15">
      <c r="A114" s="6">
        <f t="shared" si="16"/>
        <v>97</v>
      </c>
      <c r="B114" s="3">
        <f t="shared" si="17"/>
        <v>1264.0703458786772</v>
      </c>
      <c r="C114" s="16">
        <f t="shared" si="18"/>
        <v>116.65655725349154</v>
      </c>
      <c r="D114" s="3">
        <f t="shared" si="19"/>
        <v>1147.4137886251856</v>
      </c>
      <c r="E114" s="3">
        <f>IF(A114&lt;=$B$5*$B$6,SUM($D$18:D114),"")</f>
        <v>92290.480576737129</v>
      </c>
      <c r="F114" s="3">
        <f t="shared" si="20"/>
        <v>27709.519423262871</v>
      </c>
      <c r="G114" s="3">
        <f t="shared" si="21"/>
        <v>0</v>
      </c>
      <c r="H114" s="3">
        <f t="shared" si="22"/>
        <v>27709.519423262871</v>
      </c>
    </row>
    <row r="115" spans="1:8" x14ac:dyDescent="0.15">
      <c r="A115" s="6">
        <f t="shared" ref="A115:A146" si="23">IF(A114&lt;$B$5*$B$6,A114+1,"")</f>
        <v>98</v>
      </c>
      <c r="B115" s="3">
        <f t="shared" ref="B115:B146" si="24">IF(A115&lt;=$B$5*$B$6,-PMT($B$4/$B$6,$B$5*$B$6,$B$3,,$B$12),"")</f>
        <v>1264.0703458786772</v>
      </c>
      <c r="C115" s="16">
        <f t="shared" si="18"/>
        <v>112.01804139515851</v>
      </c>
      <c r="D115" s="3">
        <f t="shared" si="19"/>
        <v>1152.0523044835188</v>
      </c>
      <c r="E115" s="3">
        <f>IF(A115&lt;=$B$5*$B$6,SUM($D$18:D115),"")</f>
        <v>93442.532881220643</v>
      </c>
      <c r="F115" s="3">
        <f t="shared" si="20"/>
        <v>26557.467118779357</v>
      </c>
      <c r="G115" s="3">
        <f t="shared" si="21"/>
        <v>0</v>
      </c>
      <c r="H115" s="3">
        <f t="shared" si="22"/>
        <v>26557.467118779357</v>
      </c>
    </row>
    <row r="116" spans="1:8" x14ac:dyDescent="0.15">
      <c r="A116" s="6">
        <f t="shared" si="23"/>
        <v>99</v>
      </c>
      <c r="B116" s="3">
        <f t="shared" si="24"/>
        <v>1264.0703458786772</v>
      </c>
      <c r="C116" s="16">
        <f t="shared" si="18"/>
        <v>107.36077394992519</v>
      </c>
      <c r="D116" s="3">
        <f t="shared" si="19"/>
        <v>1156.709571928752</v>
      </c>
      <c r="E116" s="3">
        <f>IF(A116&lt;=$B$5*$B$6,SUM($D$18:D116),"")</f>
        <v>94599.242453149389</v>
      </c>
      <c r="F116" s="3">
        <f t="shared" si="20"/>
        <v>25400.757546850611</v>
      </c>
      <c r="G116" s="3">
        <f t="shared" si="21"/>
        <v>0</v>
      </c>
      <c r="H116" s="3">
        <f t="shared" si="22"/>
        <v>25400.757546850611</v>
      </c>
    </row>
    <row r="117" spans="1:8" x14ac:dyDescent="0.15">
      <c r="A117" s="6">
        <f t="shared" si="23"/>
        <v>100</v>
      </c>
      <c r="B117" s="3">
        <f t="shared" si="24"/>
        <v>1264.0703458786772</v>
      </c>
      <c r="C117" s="16">
        <f t="shared" si="18"/>
        <v>102.68467911293887</v>
      </c>
      <c r="D117" s="3">
        <f t="shared" si="19"/>
        <v>1161.3856667657383</v>
      </c>
      <c r="E117" s="3">
        <f>IF(A117&lt;=$B$5*$B$6,SUM($D$18:D117),"")</f>
        <v>95760.628119915127</v>
      </c>
      <c r="F117" s="3">
        <f t="shared" si="20"/>
        <v>24239.371880084873</v>
      </c>
      <c r="G117" s="3">
        <f t="shared" si="21"/>
        <v>0</v>
      </c>
      <c r="H117" s="3">
        <f t="shared" si="22"/>
        <v>24239.371880084873</v>
      </c>
    </row>
    <row r="118" spans="1:8" x14ac:dyDescent="0.15">
      <c r="A118" s="6">
        <f t="shared" si="23"/>
        <v>101</v>
      </c>
      <c r="B118" s="3">
        <f t="shared" si="24"/>
        <v>1264.0703458786772</v>
      </c>
      <c r="C118" s="16">
        <f t="shared" si="18"/>
        <v>97.989680772899462</v>
      </c>
      <c r="D118" s="3">
        <f t="shared" si="19"/>
        <v>1166.0806651057778</v>
      </c>
      <c r="E118" s="3">
        <f>IF(A118&lt;=$B$5*$B$6,SUM($D$18:D118),"")</f>
        <v>96926.708785020906</v>
      </c>
      <c r="F118" s="3">
        <f t="shared" si="20"/>
        <v>23073.291214979094</v>
      </c>
      <c r="G118" s="3">
        <f t="shared" si="21"/>
        <v>0</v>
      </c>
      <c r="H118" s="3">
        <f t="shared" si="22"/>
        <v>23073.291214979094</v>
      </c>
    </row>
    <row r="119" spans="1:8" x14ac:dyDescent="0.15">
      <c r="A119" s="6">
        <f t="shared" si="23"/>
        <v>102</v>
      </c>
      <c r="B119" s="3">
        <f t="shared" si="24"/>
        <v>1264.0703458786772</v>
      </c>
      <c r="C119" s="16">
        <f t="shared" si="18"/>
        <v>93.275702510820608</v>
      </c>
      <c r="D119" s="3">
        <f t="shared" si="19"/>
        <v>1170.7946433678567</v>
      </c>
      <c r="E119" s="3">
        <f>IF(A119&lt;=$B$5*$B$6,SUM($D$18:D119),"")</f>
        <v>98097.503428388765</v>
      </c>
      <c r="F119" s="3">
        <f t="shared" si="20"/>
        <v>21902.496571611235</v>
      </c>
      <c r="G119" s="3">
        <f t="shared" si="21"/>
        <v>0</v>
      </c>
      <c r="H119" s="3">
        <f t="shared" si="22"/>
        <v>21902.496571611235</v>
      </c>
    </row>
    <row r="120" spans="1:8" x14ac:dyDescent="0.15">
      <c r="A120" s="6">
        <f t="shared" si="23"/>
        <v>103</v>
      </c>
      <c r="B120" s="3">
        <f t="shared" si="24"/>
        <v>1264.0703458786772</v>
      </c>
      <c r="C120" s="16">
        <f t="shared" si="18"/>
        <v>88.542667598785783</v>
      </c>
      <c r="D120" s="3">
        <f t="shared" si="19"/>
        <v>1175.5276782798915</v>
      </c>
      <c r="E120" s="3">
        <f>IF(A120&lt;=$B$5*$B$6,SUM($D$18:D120),"")</f>
        <v>99273.031106668655</v>
      </c>
      <c r="F120" s="3">
        <f t="shared" si="20"/>
        <v>20726.968893331345</v>
      </c>
      <c r="G120" s="3">
        <f t="shared" si="21"/>
        <v>0</v>
      </c>
      <c r="H120" s="3">
        <f t="shared" si="22"/>
        <v>20726.968893331345</v>
      </c>
    </row>
    <row r="121" spans="1:8" x14ac:dyDescent="0.15">
      <c r="A121" s="6">
        <f t="shared" si="23"/>
        <v>104</v>
      </c>
      <c r="B121" s="3">
        <f t="shared" si="24"/>
        <v>1264.0703458786772</v>
      </c>
      <c r="C121" s="16">
        <f t="shared" si="18"/>
        <v>83.790498998699434</v>
      </c>
      <c r="D121" s="3">
        <f t="shared" si="19"/>
        <v>1180.2798468799779</v>
      </c>
      <c r="E121" s="3">
        <f>IF(A121&lt;=$B$5*$B$6,SUM($D$18:D121),"")</f>
        <v>100453.31095354863</v>
      </c>
      <c r="F121" s="3">
        <f t="shared" si="20"/>
        <v>19546.689046451371</v>
      </c>
      <c r="G121" s="3">
        <f t="shared" si="21"/>
        <v>0</v>
      </c>
      <c r="H121" s="3">
        <f t="shared" si="22"/>
        <v>19546.689046451371</v>
      </c>
    </row>
    <row r="122" spans="1:8" x14ac:dyDescent="0.15">
      <c r="A122" s="6">
        <f t="shared" si="23"/>
        <v>105</v>
      </c>
      <c r="B122" s="3">
        <f t="shared" si="24"/>
        <v>1264.0703458786772</v>
      </c>
      <c r="C122" s="16">
        <f t="shared" si="18"/>
        <v>79.019119361033233</v>
      </c>
      <c r="D122" s="3">
        <f t="shared" si="19"/>
        <v>1185.051226517644</v>
      </c>
      <c r="E122" s="3">
        <f>IF(A122&lt;=$B$5*$B$6,SUM($D$18:D122),"")</f>
        <v>101638.36218006627</v>
      </c>
      <c r="F122" s="3">
        <f t="shared" si="20"/>
        <v>18361.637819933734</v>
      </c>
      <c r="G122" s="3">
        <f t="shared" si="21"/>
        <v>0</v>
      </c>
      <c r="H122" s="3">
        <f t="shared" si="22"/>
        <v>18361.637819933734</v>
      </c>
    </row>
    <row r="123" spans="1:8" x14ac:dyDescent="0.15">
      <c r="A123" s="6">
        <f t="shared" si="23"/>
        <v>106</v>
      </c>
      <c r="B123" s="3">
        <f t="shared" si="24"/>
        <v>1264.0703458786772</v>
      </c>
      <c r="C123" s="16">
        <f t="shared" si="18"/>
        <v>74.228451023566777</v>
      </c>
      <c r="D123" s="3">
        <f t="shared" si="19"/>
        <v>1189.8418948551105</v>
      </c>
      <c r="E123" s="3">
        <f>IF(A123&lt;=$B$5*$B$6,SUM($D$18:D123),"")</f>
        <v>102828.20407492138</v>
      </c>
      <c r="F123" s="3">
        <f t="shared" si="20"/>
        <v>17171.795925078623</v>
      </c>
      <c r="G123" s="3">
        <f t="shared" si="21"/>
        <v>0</v>
      </c>
      <c r="H123" s="3">
        <f t="shared" si="22"/>
        <v>17171.795925078623</v>
      </c>
    </row>
    <row r="124" spans="1:8" x14ac:dyDescent="0.15">
      <c r="A124" s="6">
        <f t="shared" si="23"/>
        <v>107</v>
      </c>
      <c r="B124" s="3">
        <f t="shared" si="24"/>
        <v>1264.0703458786772</v>
      </c>
      <c r="C124" s="16">
        <f t="shared" si="18"/>
        <v>69.418416010123764</v>
      </c>
      <c r="D124" s="3">
        <f t="shared" si="19"/>
        <v>1194.6519298685535</v>
      </c>
      <c r="E124" s="3">
        <f>IF(A124&lt;=$B$5*$B$6,SUM($D$18:D124),"")</f>
        <v>104022.85600478994</v>
      </c>
      <c r="F124" s="3">
        <f t="shared" si="20"/>
        <v>15977.143995210063</v>
      </c>
      <c r="G124" s="3">
        <f t="shared" si="21"/>
        <v>0</v>
      </c>
      <c r="H124" s="3">
        <f t="shared" si="22"/>
        <v>15977.143995210063</v>
      </c>
    </row>
    <row r="125" spans="1:8" x14ac:dyDescent="0.15">
      <c r="A125" s="6">
        <f t="shared" si="23"/>
        <v>108</v>
      </c>
      <c r="B125" s="3">
        <f t="shared" si="24"/>
        <v>1264.0703458786772</v>
      </c>
      <c r="C125" s="16">
        <f t="shared" si="18"/>
        <v>64.588936029302658</v>
      </c>
      <c r="D125" s="3">
        <f t="shared" si="19"/>
        <v>1199.4814098493748</v>
      </c>
      <c r="E125" s="3">
        <f>IF(A125&lt;=$B$5*$B$6,SUM($D$18:D125),"")</f>
        <v>105222.33741463932</v>
      </c>
      <c r="F125" s="3">
        <f t="shared" si="20"/>
        <v>14777.662585360682</v>
      </c>
      <c r="G125" s="3">
        <f t="shared" si="21"/>
        <v>0</v>
      </c>
      <c r="H125" s="3">
        <f t="shared" si="22"/>
        <v>14777.662585360682</v>
      </c>
    </row>
    <row r="126" spans="1:8" x14ac:dyDescent="0.15">
      <c r="A126" s="6">
        <f t="shared" si="23"/>
        <v>109</v>
      </c>
      <c r="B126" s="3">
        <f t="shared" si="24"/>
        <v>1264.0703458786772</v>
      </c>
      <c r="C126" s="16">
        <f t="shared" si="18"/>
        <v>59.739932473202394</v>
      </c>
      <c r="D126" s="3">
        <f t="shared" si="19"/>
        <v>1204.3304134054747</v>
      </c>
      <c r="E126" s="3">
        <f>IF(A126&lt;=$B$5*$B$6,SUM($D$18:D126),"")</f>
        <v>106426.6678280448</v>
      </c>
      <c r="F126" s="3">
        <f t="shared" si="20"/>
        <v>13573.332171955204</v>
      </c>
      <c r="G126" s="3">
        <f t="shared" si="21"/>
        <v>0</v>
      </c>
      <c r="H126" s="3">
        <f t="shared" si="22"/>
        <v>13573.332171955204</v>
      </c>
    </row>
    <row r="127" spans="1:8" x14ac:dyDescent="0.15">
      <c r="A127" s="6">
        <f t="shared" si="23"/>
        <v>110</v>
      </c>
      <c r="B127" s="3">
        <f t="shared" si="24"/>
        <v>1264.0703458786772</v>
      </c>
      <c r="C127" s="16">
        <f t="shared" si="18"/>
        <v>54.871326416142978</v>
      </c>
      <c r="D127" s="3">
        <f t="shared" si="19"/>
        <v>1209.1990194625341</v>
      </c>
      <c r="E127" s="3">
        <f>IF(A127&lt;=$B$5*$B$6,SUM($D$18:D127),"")</f>
        <v>107635.86684750734</v>
      </c>
      <c r="F127" s="3">
        <f t="shared" si="20"/>
        <v>12364.133152492665</v>
      </c>
      <c r="G127" s="3">
        <f t="shared" si="21"/>
        <v>0</v>
      </c>
      <c r="H127" s="3">
        <f t="shared" si="22"/>
        <v>12364.133152492665</v>
      </c>
    </row>
    <row r="128" spans="1:8" x14ac:dyDescent="0.15">
      <c r="A128" s="6">
        <f t="shared" si="23"/>
        <v>111</v>
      </c>
      <c r="B128" s="3">
        <f t="shared" si="24"/>
        <v>1264.0703458786772</v>
      </c>
      <c r="C128" s="16">
        <f t="shared" si="18"/>
        <v>49.983038613380728</v>
      </c>
      <c r="D128" s="3">
        <f t="shared" si="19"/>
        <v>1214.0873072652964</v>
      </c>
      <c r="E128" s="3">
        <f>IF(A128&lt;=$B$5*$B$6,SUM($D$18:D128),"")</f>
        <v>108849.95415477263</v>
      </c>
      <c r="F128" s="3">
        <f t="shared" si="20"/>
        <v>11150.045845227374</v>
      </c>
      <c r="G128" s="3">
        <f t="shared" si="21"/>
        <v>0</v>
      </c>
      <c r="H128" s="3">
        <f t="shared" si="22"/>
        <v>11150.045845227374</v>
      </c>
    </row>
    <row r="129" spans="1:8" x14ac:dyDescent="0.15">
      <c r="A129" s="6">
        <f t="shared" si="23"/>
        <v>112</v>
      </c>
      <c r="B129" s="3">
        <f t="shared" si="24"/>
        <v>1264.0703458786772</v>
      </c>
      <c r="C129" s="16">
        <f t="shared" si="18"/>
        <v>45.074989499818493</v>
      </c>
      <c r="D129" s="3">
        <f t="shared" si="19"/>
        <v>1218.9953563788588</v>
      </c>
      <c r="E129" s="3">
        <f>IF(A129&lt;=$B$5*$B$6,SUM($D$18:D129),"")</f>
        <v>110068.94951115148</v>
      </c>
      <c r="F129" s="3">
        <f t="shared" si="20"/>
        <v>9931.0504888485157</v>
      </c>
      <c r="G129" s="3">
        <f t="shared" si="21"/>
        <v>0</v>
      </c>
      <c r="H129" s="3">
        <f t="shared" si="22"/>
        <v>9931.0504888485157</v>
      </c>
    </row>
    <row r="130" spans="1:8" x14ac:dyDescent="0.15">
      <c r="A130" s="6">
        <f t="shared" si="23"/>
        <v>113</v>
      </c>
      <c r="B130" s="3">
        <f t="shared" si="24"/>
        <v>1264.0703458786772</v>
      </c>
      <c r="C130" s="16">
        <f t="shared" si="18"/>
        <v>40.147099188710591</v>
      </c>
      <c r="D130" s="3">
        <f t="shared" si="19"/>
        <v>1223.9232466899666</v>
      </c>
      <c r="E130" s="3">
        <f>IF(A130&lt;=$B$5*$B$6,SUM($D$18:D130),"")</f>
        <v>111292.87275784145</v>
      </c>
      <c r="F130" s="3">
        <f t="shared" si="20"/>
        <v>8707.1272421585454</v>
      </c>
      <c r="G130" s="3">
        <f t="shared" si="21"/>
        <v>0</v>
      </c>
      <c r="H130" s="3">
        <f t="shared" si="22"/>
        <v>8707.1272421585454</v>
      </c>
    </row>
    <row r="131" spans="1:8" x14ac:dyDescent="0.15">
      <c r="A131" s="6">
        <f t="shared" si="23"/>
        <v>114</v>
      </c>
      <c r="B131" s="3">
        <f t="shared" si="24"/>
        <v>1264.0703458786772</v>
      </c>
      <c r="C131" s="16">
        <f t="shared" si="18"/>
        <v>35.199287470362513</v>
      </c>
      <c r="D131" s="3">
        <f t="shared" si="19"/>
        <v>1228.8710584083149</v>
      </c>
      <c r="E131" s="3">
        <f>IF(A131&lt;=$B$5*$B$6,SUM($D$18:D131),"")</f>
        <v>112521.74381624977</v>
      </c>
      <c r="F131" s="3">
        <f t="shared" si="20"/>
        <v>7478.256183750229</v>
      </c>
      <c r="G131" s="3">
        <f t="shared" si="21"/>
        <v>0</v>
      </c>
      <c r="H131" s="3">
        <f t="shared" si="22"/>
        <v>7478.256183750229</v>
      </c>
    </row>
    <row r="132" spans="1:8" x14ac:dyDescent="0.15">
      <c r="A132" s="6">
        <f t="shared" si="23"/>
        <v>115</v>
      </c>
      <c r="B132" s="3">
        <f t="shared" si="24"/>
        <v>1264.0703458786772</v>
      </c>
      <c r="C132" s="16">
        <f t="shared" si="18"/>
        <v>30.231473810825371</v>
      </c>
      <c r="D132" s="3">
        <f t="shared" si="19"/>
        <v>1233.8388720678518</v>
      </c>
      <c r="E132" s="3">
        <f>IF(A132&lt;=$B$5*$B$6,SUM($D$18:D132),"")</f>
        <v>113755.58268831762</v>
      </c>
      <c r="F132" s="3">
        <f t="shared" si="20"/>
        <v>6244.4173116823804</v>
      </c>
      <c r="G132" s="3">
        <f t="shared" si="21"/>
        <v>0</v>
      </c>
      <c r="H132" s="3">
        <f t="shared" si="22"/>
        <v>6244.4173116823804</v>
      </c>
    </row>
    <row r="133" spans="1:8" x14ac:dyDescent="0.15">
      <c r="A133" s="6">
        <f t="shared" si="23"/>
        <v>116</v>
      </c>
      <c r="B133" s="3">
        <f t="shared" si="24"/>
        <v>1264.0703458786772</v>
      </c>
      <c r="C133" s="16">
        <f t="shared" si="18"/>
        <v>25.243577350585078</v>
      </c>
      <c r="D133" s="3">
        <f t="shared" si="19"/>
        <v>1238.8267685280921</v>
      </c>
      <c r="E133" s="3">
        <f>IF(A133&lt;=$B$5*$B$6,SUM($D$18:D133),"")</f>
        <v>114994.40945684571</v>
      </c>
      <c r="F133" s="3">
        <f t="shared" si="20"/>
        <v>5005.5905431542924</v>
      </c>
      <c r="G133" s="3">
        <f t="shared" si="21"/>
        <v>0</v>
      </c>
      <c r="H133" s="3">
        <f t="shared" si="22"/>
        <v>5005.5905431542924</v>
      </c>
    </row>
    <row r="134" spans="1:8" x14ac:dyDescent="0.15">
      <c r="A134" s="6">
        <f t="shared" si="23"/>
        <v>117</v>
      </c>
      <c r="B134" s="3">
        <f t="shared" si="24"/>
        <v>1264.0703458786772</v>
      </c>
      <c r="C134" s="16">
        <f t="shared" si="18"/>
        <v>20.235516903246214</v>
      </c>
      <c r="D134" s="3">
        <f t="shared" si="19"/>
        <v>1243.834828975431</v>
      </c>
      <c r="E134" s="3">
        <f>IF(A134&lt;=$B$5*$B$6,SUM($D$18:D134),"")</f>
        <v>116238.24428582114</v>
      </c>
      <c r="F134" s="3">
        <f t="shared" si="20"/>
        <v>3761.7557141788566</v>
      </c>
      <c r="G134" s="3">
        <f t="shared" si="21"/>
        <v>0</v>
      </c>
      <c r="H134" s="3">
        <f t="shared" si="22"/>
        <v>3761.7557141788566</v>
      </c>
    </row>
    <row r="135" spans="1:8" x14ac:dyDescent="0.15">
      <c r="A135" s="6">
        <f t="shared" si="23"/>
        <v>118</v>
      </c>
      <c r="B135" s="3">
        <f t="shared" si="24"/>
        <v>1264.0703458786772</v>
      </c>
      <c r="C135" s="16">
        <f t="shared" si="18"/>
        <v>15.207210954210623</v>
      </c>
      <c r="D135" s="3">
        <f t="shared" si="19"/>
        <v>1248.8631349244667</v>
      </c>
      <c r="E135" s="3">
        <f>IF(A135&lt;=$B$5*$B$6,SUM($D$18:D135),"")</f>
        <v>117487.10742074561</v>
      </c>
      <c r="F135" s="3">
        <f t="shared" si="20"/>
        <v>2512.8925792543887</v>
      </c>
      <c r="G135" s="3">
        <f t="shared" si="21"/>
        <v>0</v>
      </c>
      <c r="H135" s="3">
        <f t="shared" si="22"/>
        <v>2512.8925792543887</v>
      </c>
    </row>
    <row r="136" spans="1:8" x14ac:dyDescent="0.15">
      <c r="A136" s="6">
        <f t="shared" si="23"/>
        <v>119</v>
      </c>
      <c r="B136" s="3">
        <f t="shared" si="24"/>
        <v>1264.0703458786772</v>
      </c>
      <c r="C136" s="16">
        <f t="shared" si="18"/>
        <v>10.158577659350556</v>
      </c>
      <c r="D136" s="3">
        <f t="shared" si="19"/>
        <v>1253.9117682193269</v>
      </c>
      <c r="E136" s="3">
        <f>IF(A136&lt;=$B$5*$B$6,SUM($D$18:D136),"")</f>
        <v>118741.01918896494</v>
      </c>
      <c r="F136" s="3">
        <f t="shared" si="20"/>
        <v>1258.9808110350568</v>
      </c>
      <c r="G136" s="3">
        <f t="shared" si="21"/>
        <v>0</v>
      </c>
      <c r="H136" s="3">
        <f t="shared" si="22"/>
        <v>1258.9808110350568</v>
      </c>
    </row>
    <row r="137" spans="1:8" x14ac:dyDescent="0.15">
      <c r="A137" s="6">
        <f t="shared" si="23"/>
        <v>120</v>
      </c>
      <c r="B137" s="3">
        <f t="shared" si="24"/>
        <v>1264.0703458786772</v>
      </c>
      <c r="C137" s="16">
        <f t="shared" si="18"/>
        <v>5.0895348436765762</v>
      </c>
      <c r="D137" s="3">
        <f t="shared" si="19"/>
        <v>1258.9808110350004</v>
      </c>
      <c r="E137" s="3">
        <f>IF(A137&lt;=$B$5*$B$6,SUM($D$18:D137),"")</f>
        <v>119999.99999999994</v>
      </c>
      <c r="F137" s="3">
        <f t="shared" si="20"/>
        <v>5.8207660913467407E-11</v>
      </c>
      <c r="G137" s="3">
        <f t="shared" si="21"/>
        <v>0</v>
      </c>
      <c r="H137" s="3">
        <f t="shared" si="22"/>
        <v>5.8207660913467407E-11</v>
      </c>
    </row>
    <row r="138" spans="1:8" x14ac:dyDescent="0.15">
      <c r="A138" s="6" t="str">
        <f t="shared" si="23"/>
        <v/>
      </c>
      <c r="B138" s="3" t="str">
        <f t="shared" si="24"/>
        <v/>
      </c>
      <c r="C138" s="16" t="str">
        <f t="shared" si="18"/>
        <v/>
      </c>
      <c r="D138" s="3" t="str">
        <f t="shared" si="19"/>
        <v/>
      </c>
      <c r="E138" s="3" t="str">
        <f>IF(A138&lt;=$B$5*$B$6,SUM($D$18:D138),"")</f>
        <v/>
      </c>
      <c r="F138" s="3" t="str">
        <f t="shared" si="20"/>
        <v/>
      </c>
      <c r="G138" s="3" t="str">
        <f t="shared" si="21"/>
        <v/>
      </c>
      <c r="H138" s="3" t="str">
        <f t="shared" si="22"/>
        <v/>
      </c>
    </row>
    <row r="139" spans="1:8" x14ac:dyDescent="0.15">
      <c r="A139" s="6" t="str">
        <f t="shared" si="23"/>
        <v/>
      </c>
      <c r="B139" s="3" t="str">
        <f t="shared" si="24"/>
        <v/>
      </c>
      <c r="C139" s="16" t="str">
        <f t="shared" si="18"/>
        <v/>
      </c>
      <c r="D139" s="3" t="str">
        <f t="shared" si="19"/>
        <v/>
      </c>
      <c r="E139" s="3" t="str">
        <f>IF(A139&lt;=$B$5*$B$6,SUM($D$18:D139),"")</f>
        <v/>
      </c>
      <c r="F139" s="3" t="str">
        <f t="shared" si="20"/>
        <v/>
      </c>
      <c r="G139" s="3" t="str">
        <f t="shared" si="21"/>
        <v/>
      </c>
      <c r="H139" s="3" t="str">
        <f t="shared" si="22"/>
        <v/>
      </c>
    </row>
    <row r="140" spans="1:8" x14ac:dyDescent="0.15">
      <c r="A140" s="6" t="str">
        <f t="shared" si="23"/>
        <v/>
      </c>
      <c r="B140" s="3" t="str">
        <f t="shared" si="24"/>
        <v/>
      </c>
      <c r="C140" s="16" t="str">
        <f t="shared" si="18"/>
        <v/>
      </c>
      <c r="D140" s="3" t="str">
        <f t="shared" si="19"/>
        <v/>
      </c>
      <c r="E140" s="3" t="str">
        <f>IF(A140&lt;=$B$5*$B$6,SUM($D$18:D140),"")</f>
        <v/>
      </c>
      <c r="F140" s="3" t="str">
        <f t="shared" si="20"/>
        <v/>
      </c>
      <c r="G140" s="3" t="str">
        <f t="shared" si="21"/>
        <v/>
      </c>
      <c r="H140" s="3" t="str">
        <f t="shared" si="22"/>
        <v/>
      </c>
    </row>
    <row r="141" spans="1:8" x14ac:dyDescent="0.15">
      <c r="A141" s="6" t="str">
        <f t="shared" si="23"/>
        <v/>
      </c>
      <c r="B141" s="3" t="str">
        <f t="shared" si="24"/>
        <v/>
      </c>
      <c r="C141" s="16" t="str">
        <f t="shared" si="18"/>
        <v/>
      </c>
      <c r="D141" s="3" t="str">
        <f t="shared" si="19"/>
        <v/>
      </c>
      <c r="E141" s="3" t="str">
        <f>IF(A141&lt;=$B$5*$B$6,SUM($D$18:D141),"")</f>
        <v/>
      </c>
      <c r="F141" s="3" t="str">
        <f t="shared" si="20"/>
        <v/>
      </c>
      <c r="G141" s="3" t="str">
        <f t="shared" si="21"/>
        <v/>
      </c>
      <c r="H141" s="3" t="str">
        <f t="shared" si="22"/>
        <v/>
      </c>
    </row>
    <row r="142" spans="1:8" x14ac:dyDescent="0.15">
      <c r="A142" s="6" t="str">
        <f t="shared" si="23"/>
        <v/>
      </c>
      <c r="B142" s="3" t="str">
        <f t="shared" si="24"/>
        <v/>
      </c>
      <c r="C142" s="16" t="str">
        <f t="shared" si="18"/>
        <v/>
      </c>
      <c r="D142" s="3" t="str">
        <f t="shared" si="19"/>
        <v/>
      </c>
      <c r="E142" s="3" t="str">
        <f>IF(A142&lt;=$B$5*$B$6,SUM($D$18:D142),"")</f>
        <v/>
      </c>
      <c r="F142" s="3" t="str">
        <f t="shared" si="20"/>
        <v/>
      </c>
      <c r="G142" s="3" t="str">
        <f t="shared" si="21"/>
        <v/>
      </c>
      <c r="H142" s="3" t="str">
        <f t="shared" si="22"/>
        <v/>
      </c>
    </row>
    <row r="143" spans="1:8" x14ac:dyDescent="0.15">
      <c r="A143" s="6" t="str">
        <f t="shared" si="23"/>
        <v/>
      </c>
      <c r="B143" s="3" t="str">
        <f t="shared" si="24"/>
        <v/>
      </c>
      <c r="C143" s="16" t="str">
        <f t="shared" si="18"/>
        <v/>
      </c>
      <c r="D143" s="3" t="str">
        <f t="shared" si="19"/>
        <v/>
      </c>
      <c r="E143" s="3" t="str">
        <f>IF(A143&lt;=$B$5*$B$6,SUM($D$18:D143),"")</f>
        <v/>
      </c>
      <c r="F143" s="3" t="str">
        <f t="shared" si="20"/>
        <v/>
      </c>
      <c r="G143" s="3" t="str">
        <f t="shared" si="21"/>
        <v/>
      </c>
      <c r="H143" s="3" t="str">
        <f t="shared" si="22"/>
        <v/>
      </c>
    </row>
    <row r="144" spans="1:8" x14ac:dyDescent="0.15">
      <c r="A144" s="6" t="str">
        <f t="shared" si="23"/>
        <v/>
      </c>
      <c r="B144" s="3" t="str">
        <f t="shared" si="24"/>
        <v/>
      </c>
      <c r="C144" s="16" t="str">
        <f t="shared" si="18"/>
        <v/>
      </c>
      <c r="D144" s="3" t="str">
        <f t="shared" si="19"/>
        <v/>
      </c>
      <c r="E144" s="3" t="str">
        <f>IF(A144&lt;=$B$5*$B$6,SUM($D$18:D144),"")</f>
        <v/>
      </c>
      <c r="F144" s="3" t="str">
        <f t="shared" si="20"/>
        <v/>
      </c>
      <c r="G144" s="3" t="str">
        <f t="shared" si="21"/>
        <v/>
      </c>
      <c r="H144" s="3" t="str">
        <f t="shared" si="22"/>
        <v/>
      </c>
    </row>
    <row r="145" spans="1:8" x14ac:dyDescent="0.15">
      <c r="A145" s="6" t="str">
        <f t="shared" si="23"/>
        <v/>
      </c>
      <c r="B145" s="3" t="str">
        <f t="shared" si="24"/>
        <v/>
      </c>
      <c r="C145" s="16" t="str">
        <f t="shared" si="18"/>
        <v/>
      </c>
      <c r="D145" s="3" t="str">
        <f t="shared" si="19"/>
        <v/>
      </c>
      <c r="E145" s="3" t="str">
        <f>IF(A145&lt;=$B$5*$B$6,SUM($D$18:D145),"")</f>
        <v/>
      </c>
      <c r="F145" s="3" t="str">
        <f t="shared" si="20"/>
        <v/>
      </c>
      <c r="G145" s="3" t="str">
        <f t="shared" si="21"/>
        <v/>
      </c>
      <c r="H145" s="3" t="str">
        <f t="shared" si="22"/>
        <v/>
      </c>
    </row>
    <row r="146" spans="1:8" x14ac:dyDescent="0.15">
      <c r="A146" s="6" t="str">
        <f t="shared" si="23"/>
        <v/>
      </c>
      <c r="B146" s="3" t="str">
        <f t="shared" si="24"/>
        <v/>
      </c>
      <c r="C146" s="16" t="str">
        <f t="shared" si="18"/>
        <v/>
      </c>
      <c r="D146" s="3" t="str">
        <f t="shared" si="19"/>
        <v/>
      </c>
      <c r="E146" s="3" t="str">
        <f>IF(A146&lt;=$B$5*$B$6,SUM($D$18:D146),"")</f>
        <v/>
      </c>
      <c r="F146" s="3" t="str">
        <f t="shared" si="20"/>
        <v/>
      </c>
      <c r="G146" s="3" t="str">
        <f t="shared" si="21"/>
        <v/>
      </c>
      <c r="H146" s="3" t="str">
        <f t="shared" si="22"/>
        <v/>
      </c>
    </row>
    <row r="147" spans="1:8" x14ac:dyDescent="0.15">
      <c r="A147" s="6" t="str">
        <f t="shared" ref="A147:A153" si="25">IF(A146&lt;$B$5*$B$6,A146+1,"")</f>
        <v/>
      </c>
      <c r="B147" s="3" t="str">
        <f t="shared" ref="B147:B153" si="26">IF(A147&lt;=$B$5*$B$6,-PMT($B$4/$B$6,$B$5*$B$6,$B$3,,$B$12),"")</f>
        <v/>
      </c>
      <c r="C147" s="16" t="str">
        <f t="shared" ref="C147:C153" si="27">IF(A147&lt;=$B$5*$B$6,-IPMT($B$4/$B$6,A147,$B$5*$B$6,$B$3,,$B$12),"")</f>
        <v/>
      </c>
      <c r="D147" s="3" t="str">
        <f t="shared" ref="D147:D153" si="28">IF(A147&lt;=$B$5*$B$6,-PPMT($B$4/$B$6,A147,$B$5*$B$6,$B$3,,$B$12),"")</f>
        <v/>
      </c>
      <c r="E147" s="3" t="str">
        <f>IF(A147&lt;=$B$5*$B$6,SUM($D$18:D147),"")</f>
        <v/>
      </c>
      <c r="F147" s="3" t="str">
        <f t="shared" ref="F147:F153" si="29">IF(A147&lt;=$B$5*$B$6,$B$3-E147,"")</f>
        <v/>
      </c>
      <c r="G147" s="3" t="str">
        <f t="shared" ref="G147:G153" si="30">IF(F147="","",$B$11*F147)</f>
        <v/>
      </c>
      <c r="H147" s="3" t="str">
        <f t="shared" ref="H147:H153" si="31">IF(G147="","",F147+G147)</f>
        <v/>
      </c>
    </row>
    <row r="148" spans="1:8" x14ac:dyDescent="0.15">
      <c r="A148" s="6" t="str">
        <f t="shared" si="25"/>
        <v/>
      </c>
      <c r="B148" s="3" t="str">
        <f t="shared" si="26"/>
        <v/>
      </c>
      <c r="C148" s="16" t="str">
        <f t="shared" si="27"/>
        <v/>
      </c>
      <c r="D148" s="3" t="str">
        <f t="shared" si="28"/>
        <v/>
      </c>
      <c r="E148" s="3" t="str">
        <f>IF(A148&lt;=$B$5*$B$6,SUM($D$18:D148),"")</f>
        <v/>
      </c>
      <c r="F148" s="3" t="str">
        <f t="shared" si="29"/>
        <v/>
      </c>
      <c r="G148" s="3" t="str">
        <f t="shared" si="30"/>
        <v/>
      </c>
      <c r="H148" s="3" t="str">
        <f t="shared" si="31"/>
        <v/>
      </c>
    </row>
    <row r="149" spans="1:8" x14ac:dyDescent="0.15">
      <c r="A149" s="6" t="str">
        <f t="shared" si="25"/>
        <v/>
      </c>
      <c r="B149" s="3" t="str">
        <f t="shared" si="26"/>
        <v/>
      </c>
      <c r="C149" s="16" t="str">
        <f t="shared" si="27"/>
        <v/>
      </c>
      <c r="D149" s="3" t="str">
        <f t="shared" si="28"/>
        <v/>
      </c>
      <c r="E149" s="3" t="str">
        <f>IF(A149&lt;=$B$5*$B$6,SUM($D$18:D149),"")</f>
        <v/>
      </c>
      <c r="F149" s="3" t="str">
        <f t="shared" si="29"/>
        <v/>
      </c>
      <c r="G149" s="3" t="str">
        <f t="shared" si="30"/>
        <v/>
      </c>
      <c r="H149" s="3" t="str">
        <f t="shared" si="31"/>
        <v/>
      </c>
    </row>
    <row r="150" spans="1:8" x14ac:dyDescent="0.15">
      <c r="A150" s="6" t="str">
        <f t="shared" si="25"/>
        <v/>
      </c>
      <c r="B150" s="3" t="str">
        <f t="shared" si="26"/>
        <v/>
      </c>
      <c r="C150" s="16" t="str">
        <f t="shared" si="27"/>
        <v/>
      </c>
      <c r="D150" s="3" t="str">
        <f t="shared" si="28"/>
        <v/>
      </c>
      <c r="E150" s="3" t="str">
        <f>IF(A150&lt;=$B$5*$B$6,SUM($D$18:D150),"")</f>
        <v/>
      </c>
      <c r="F150" s="3" t="str">
        <f t="shared" si="29"/>
        <v/>
      </c>
      <c r="G150" s="3" t="str">
        <f t="shared" si="30"/>
        <v/>
      </c>
      <c r="H150" s="3" t="str">
        <f t="shared" si="31"/>
        <v/>
      </c>
    </row>
    <row r="151" spans="1:8" x14ac:dyDescent="0.15">
      <c r="A151" s="6" t="str">
        <f t="shared" si="25"/>
        <v/>
      </c>
      <c r="B151" s="3" t="str">
        <f t="shared" si="26"/>
        <v/>
      </c>
      <c r="C151" s="16" t="str">
        <f t="shared" si="27"/>
        <v/>
      </c>
      <c r="D151" s="3" t="str">
        <f t="shared" si="28"/>
        <v/>
      </c>
      <c r="E151" s="3" t="str">
        <f>IF(A151&lt;=$B$5*$B$6,SUM($D$18:D151),"")</f>
        <v/>
      </c>
      <c r="F151" s="3" t="str">
        <f t="shared" si="29"/>
        <v/>
      </c>
      <c r="G151" s="3" t="str">
        <f t="shared" si="30"/>
        <v/>
      </c>
      <c r="H151" s="3" t="str">
        <f t="shared" si="31"/>
        <v/>
      </c>
    </row>
    <row r="152" spans="1:8" x14ac:dyDescent="0.15">
      <c r="A152" s="6" t="str">
        <f t="shared" si="25"/>
        <v/>
      </c>
      <c r="B152" s="3" t="str">
        <f t="shared" si="26"/>
        <v/>
      </c>
      <c r="C152" s="16" t="str">
        <f t="shared" si="27"/>
        <v/>
      </c>
      <c r="D152" s="3" t="str">
        <f t="shared" si="28"/>
        <v/>
      </c>
      <c r="E152" s="3" t="str">
        <f>IF(A152&lt;=$B$5*$B$6,SUM($D$18:D152),"")</f>
        <v/>
      </c>
      <c r="F152" s="3" t="str">
        <f t="shared" si="29"/>
        <v/>
      </c>
      <c r="G152" s="3" t="str">
        <f t="shared" si="30"/>
        <v/>
      </c>
      <c r="H152" s="3" t="str">
        <f t="shared" si="31"/>
        <v/>
      </c>
    </row>
    <row r="153" spans="1:8" x14ac:dyDescent="0.15">
      <c r="A153" s="6" t="str">
        <f t="shared" si="25"/>
        <v/>
      </c>
      <c r="B153" s="3" t="str">
        <f t="shared" si="26"/>
        <v/>
      </c>
      <c r="C153" s="16" t="str">
        <f t="shared" si="27"/>
        <v/>
      </c>
      <c r="D153" s="3" t="str">
        <f t="shared" si="28"/>
        <v/>
      </c>
      <c r="E153" s="3" t="str">
        <f>IF(A153&lt;=$B$5*$B$6,SUM($D$18:D153),"")</f>
        <v/>
      </c>
      <c r="F153" s="3" t="str">
        <f t="shared" si="29"/>
        <v/>
      </c>
      <c r="G153" s="3" t="str">
        <f t="shared" si="30"/>
        <v/>
      </c>
      <c r="H153" s="3" t="str">
        <f t="shared" si="31"/>
        <v/>
      </c>
    </row>
  </sheetData>
  <mergeCells count="1">
    <mergeCell ref="A1:H1"/>
  </mergeCells>
  <pageMargins left="0.39370078740157483" right="0.7" top="0.75" bottom="0.75" header="0" footer="0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amortizacion  prestamo </vt:lpstr>
    </vt:vector>
  </TitlesOfParts>
  <Company>Dpto. Org. y Gest. de Emp.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Arenal</dc:creator>
  <cp:lastModifiedBy>Microsoft Office User</cp:lastModifiedBy>
  <cp:lastPrinted>2005-04-04T10:06:08Z</cp:lastPrinted>
  <dcterms:created xsi:type="dcterms:W3CDTF">2004-03-27T11:58:08Z</dcterms:created>
  <dcterms:modified xsi:type="dcterms:W3CDTF">2018-11-19T16:44:51Z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dc7c2f7a-9c7c-45e1-9493-4c929dc440f3</vt:lpwstr>
  </property>
</Properties>
</file>